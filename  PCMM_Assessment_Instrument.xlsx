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defaultThemeVersion="202300"/>
  <mc:AlternateContent xmlns:mc="http://schemas.openxmlformats.org/markup-compatibility/2006">
    <mc:Choice Requires="x15">
      <x15ac:absPath xmlns:x15ac="http://schemas.microsoft.com/office/spreadsheetml/2010/11/ac" url="/Users/joaquimlbacao/Documents/LEIC/tese/processes consistency/"/>
    </mc:Choice>
  </mc:AlternateContent>
  <xr:revisionPtr revIDLastSave="0" documentId="13_ncr:1_{369AE6C1-6D8C-6B4E-8E53-C8B38937886C}" xr6:coauthVersionLast="47" xr6:coauthVersionMax="47" xr10:uidLastSave="{00000000-0000-0000-0000-000000000000}"/>
  <bookViews>
    <workbookView xWindow="0" yWindow="0" windowWidth="28800" windowHeight="18000" firstSheet="3" activeTab="9" xr2:uid="{A2264562-C742-1344-8CFB-6E779E3BB423}"/>
  </bookViews>
  <sheets>
    <sheet name="About This Model" sheetId="10" r:id="rId1"/>
    <sheet name="1. Workflow Progression Guarant" sheetId="4" r:id="rId2"/>
    <sheet name="2. Constraint Enforcement" sheetId="2" r:id="rId3"/>
    <sheet name="3. Concurrency &amp; Idempotency " sheetId="3" r:id="rId4"/>
    <sheet name="4. Fault Handling &amp; Recovery" sheetId="1" r:id="rId5"/>
    <sheet name="5. Runtime Governance" sheetId="7" r:id="rId6"/>
    <sheet name="6. Events Documentation" sheetId="5" r:id="rId7"/>
    <sheet name="7. Microservices Documentation" sheetId="6" r:id="rId8"/>
    <sheet name="Dashboard" sheetId="8" r:id="rId9"/>
    <sheet name="Graphs" sheetId="9"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1" i="8" l="1"/>
  <c r="E62" i="8" s="1"/>
  <c r="D50" i="8"/>
  <c r="D62" i="8" s="1"/>
  <c r="D49" i="8"/>
  <c r="C62" i="8" s="1"/>
  <c r="D48" i="8"/>
  <c r="C74" i="8" s="1"/>
  <c r="D46" i="8"/>
  <c r="D45" i="8"/>
  <c r="E61" i="8" s="1"/>
  <c r="D44" i="8"/>
  <c r="D43" i="8"/>
  <c r="D42" i="8"/>
  <c r="D41" i="8"/>
  <c r="D40" i="8"/>
  <c r="C61" i="8" s="1"/>
  <c r="D39" i="8"/>
  <c r="C73" i="8" s="1"/>
  <c r="D37" i="8"/>
  <c r="D36" i="8"/>
  <c r="D35" i="8"/>
  <c r="D34" i="8"/>
  <c r="C60" i="8" s="1"/>
  <c r="D33" i="8"/>
  <c r="C72" i="8" s="1"/>
  <c r="D31" i="8"/>
  <c r="D30" i="8"/>
  <c r="E59" i="8" s="1"/>
  <c r="D29" i="8"/>
  <c r="D59" i="8" s="1"/>
  <c r="D28" i="8"/>
  <c r="D27" i="8"/>
  <c r="C59" i="8" s="1"/>
  <c r="D26" i="8"/>
  <c r="D25" i="8"/>
  <c r="C71" i="8" s="1"/>
  <c r="D23" i="8"/>
  <c r="D58" i="8" s="1"/>
  <c r="D22" i="8"/>
  <c r="D21" i="8"/>
  <c r="C58" i="8" s="1"/>
  <c r="D20" i="8"/>
  <c r="D18" i="8"/>
  <c r="E57" i="8" s="1"/>
  <c r="D17" i="8"/>
  <c r="D57" i="8" s="1"/>
  <c r="D16" i="8"/>
  <c r="C57" i="8" s="1"/>
  <c r="D15" i="8"/>
  <c r="D14" i="8"/>
  <c r="D12" i="8"/>
  <c r="D11" i="8"/>
  <c r="C56" i="8" s="1"/>
  <c r="D10" i="8"/>
  <c r="D9" i="8"/>
  <c r="D8" i="8"/>
  <c r="D7" i="8"/>
  <c r="D6" i="8"/>
  <c r="E70" i="8" l="1"/>
  <c r="C69" i="8"/>
  <c r="G69" i="8" s="1"/>
  <c r="E72" i="8"/>
  <c r="D72" i="8"/>
  <c r="F69" i="8"/>
  <c r="D70" i="8"/>
  <c r="F71" i="8"/>
  <c r="E69" i="8"/>
  <c r="F63" i="8"/>
  <c r="F73" i="8"/>
  <c r="E71" i="8"/>
  <c r="D69" i="8"/>
  <c r="D60" i="8"/>
  <c r="E73" i="8"/>
  <c r="D71" i="8"/>
  <c r="C70" i="8"/>
  <c r="H70" i="8" s="1"/>
  <c r="D73" i="8"/>
  <c r="G73" i="8" s="1"/>
  <c r="D68" i="8"/>
  <c r="C68" i="8"/>
  <c r="G72" i="8"/>
  <c r="H72" i="8"/>
  <c r="D61" i="8"/>
  <c r="B63" i="8"/>
  <c r="F62" i="8"/>
  <c r="C63" i="8"/>
  <c r="F74" i="8"/>
  <c r="D63" i="8"/>
  <c r="E74" i="8"/>
  <c r="E63" i="8"/>
  <c r="D74" i="8"/>
  <c r="H74" i="8" s="1"/>
  <c r="F57" i="8"/>
  <c r="B56" i="8"/>
  <c r="B58" i="8"/>
  <c r="F59" i="8"/>
  <c r="B60" i="8"/>
  <c r="F61" i="8"/>
  <c r="F56" i="8"/>
  <c r="B62" i="8"/>
  <c r="B57" i="8"/>
  <c r="F58" i="8"/>
  <c r="B59" i="8"/>
  <c r="F60" i="8"/>
  <c r="B61" i="8"/>
  <c r="H69" i="8" l="1"/>
  <c r="G70" i="8"/>
  <c r="G68" i="8"/>
  <c r="H68" i="8"/>
  <c r="G74" i="8"/>
  <c r="G71" i="8"/>
  <c r="H71" i="8"/>
  <c r="H73" i="8"/>
</calcChain>
</file>

<file path=xl/sharedStrings.xml><?xml version="1.0" encoding="utf-8"?>
<sst xmlns="http://schemas.openxmlformats.org/spreadsheetml/2006/main" count="307" uniqueCount="205">
  <si>
    <t>Are failures detectable through explicit error events, logs, or monitoring signals?</t>
  </si>
  <si>
    <t>Are failure conditions and recovery paths explicitly modeled within the workflow or interaction logic?</t>
  </si>
  <si>
    <t>Does the architecture limit failure propagation so that failures in one service do not cause uncontrolled cascading failures across the workflow?</t>
  </si>
  <si>
    <t>Are failure outcomes explicitly distinguishable from intentional cancellations or business rejections?</t>
  </si>
  <si>
    <t>Can a failed workflow instance be recovered or continued without manual reconstruction of its prior state?</t>
  </si>
  <si>
    <t>Are compensation or rollback mechanisms defined for partially completed multi-service workflows?</t>
  </si>
  <si>
    <t>Are retry mechanisms explicitly defined for handling transient failures?</t>
  </si>
  <si>
    <t>Q1.1</t>
  </si>
  <si>
    <t>Q1.2</t>
  </si>
  <si>
    <t>Q1.3</t>
  </si>
  <si>
    <t>Q1.4</t>
  </si>
  <si>
    <t>Q1.5</t>
  </si>
  <si>
    <t>Q1.6</t>
  </si>
  <si>
    <t>Answer ("Y" for yes, "N" for no)</t>
  </si>
  <si>
    <t xml:space="preserve">Purpose: To evaluate whether architectural boundaries prevent a single service failure from destabilising the entire workflow. </t>
  </si>
  <si>
    <t>Q1.7</t>
  </si>
  <si>
    <t>Purpose: To assess whether the architecture treats failure as a design-time concern rather than an operational afterthought. An architecture may be aware of failure scenarios (through enums, comments, or state definitions) without translating that awareness into actual recovery logic. Only explicit recovery paths within the workflow or interaction logic satisfy the criterion.</t>
  </si>
  <si>
    <t>Purpose: To assess whether the architecture supports automated or semi-automated recovery of failed workflow instances. In many event-driven systems, recovery after failure requires operators to manually inspect logs, reconstruct state, and re-trigger events. This question evaluates whether the architecture provides mechanisms for continuing or replaying failed workflows without that manual effort.</t>
  </si>
  <si>
    <t>Purpose: To determine whether failures are visible to operators and downstream systems. Without explicit signals, failures may propagate silently and remain undiagnosed.</t>
  </si>
  <si>
    <t>Evidence includes: Error event types or status enums (e.g., ERROR states), logging in service code, monitoring signals (metrics, interceptors, listeners), health checks, or uncaught exception handlers that produce observable output.</t>
  </si>
  <si>
    <t>Evidence includes: Asynchronous decoupling (e.g., message brokers), circuit breakers, timeouts, bulkheads, and dead-letter queues. Distinguish between preventing system crashes and preventing logical cascades.</t>
  </si>
  <si>
    <t>Purpose: To determine whether the system can differentiate between a technical failure (e.g., a service crash, timeout, or infrastructure error), a business rejection (e.g., an order rejected due to insufficient inventory), and an intentional cancellation (e.g., a user-initiated order cancellation). Without this, process states and recovery decisions become ambiguous.</t>
  </si>
  <si>
    <t>Evidence includes: Distinct event types or states (e.g., FAILED, REJECTED, CANCELLED) that clearly separate technical errors from business-level outcomes.</t>
  </si>
  <si>
    <t>Purpose: To assess whether transient failures (e.g., timeouts, throttling) are handled through controlled retries instead of causing workflow failure.</t>
  </si>
  <si>
    <t>Evidence includes: Retry policies in workflows, brokers, or application logic (including backoff and limits). Check for consistency across services.</t>
  </si>
  <si>
    <t>Evidence includes: Explicit error-handling paths in workflows, state machines with failure states, or handlers that trigger recovery actions. Awareness (comments/enums) without implementation is insufficient.</t>
  </si>
  <si>
    <t>Evidence includes: Replay mechanisms (event sourcing), checkpoints, saga recovery, or persisted execution state. Architectures that handle failures by starting entirely new processes rather than resuming failed ones should be scored as 'No' unless the new process automatically inherits the prior state.</t>
  </si>
  <si>
    <t>Purpose: To evaluate whether the system can correct inconsistencies caused by partial execution across services. When a multi-service workflow fails midway, some services may have already applied their side effects. Without compensation or rollback, these partial results remain permanently in place, creating data inconsistencies.</t>
  </si>
  <si>
    <t>Evidence includes: Compensating transactions, saga patterns, explicit rollback logic, or reversal events that undo side effects.</t>
  </si>
  <si>
    <t>Are business constraints explicitly enforced within services or event handlers rather than assumed by upstream systems?</t>
  </si>
  <si>
    <t>Are incoming events or commands validated before being processed by services?</t>
  </si>
  <si>
    <t>Are event schemas formally defined and validated when events are produced or consumed?</t>
  </si>
  <si>
    <t>Can the architecture detect protocol violations such as invalid event sequences, out-of-order events, or illegal state transitions?</t>
  </si>
  <si>
    <t>Are detected constraint or protocol violations logged and surfaced through monitoring or alerting mechanisms?</t>
  </si>
  <si>
    <t>Q2.1</t>
  </si>
  <si>
    <t>Q2.2</t>
  </si>
  <si>
    <t>Q2.3</t>
  </si>
  <si>
    <t>Q2.4</t>
  </si>
  <si>
    <t>Q2.5</t>
  </si>
  <si>
    <t>Does the architecture protect shared workflow state from concurrent write corruption?</t>
  </si>
  <si>
    <t>Does the architecture ensure that events affecting the same entity are processed in a consistent order when required?</t>
  </si>
  <si>
    <t>Q3.1</t>
  </si>
  <si>
    <t>Q3.2</t>
  </si>
  <si>
    <t>Q3.3</t>
  </si>
  <si>
    <t>Q3.4</t>
  </si>
  <si>
    <t>Is the execution state of a workflow instance persistently recoverable from system state or event history?</t>
  </si>
  <si>
    <t>Are state transitions tracked using identifiable entity, transaction, or event identifiers?</t>
  </si>
  <si>
    <t>Does horizontal scaling preserve correct routing of events or requests to the intended services?</t>
  </si>
  <si>
    <t>Can services scale independently without requiring coordinated scaling of other services?</t>
  </si>
  <si>
    <t>Are workflow instances logically isolated so that each instance progresses independently of others?</t>
  </si>
  <si>
    <t>Are inter-service execution dependencies explicitly represented in workflow definitions or event interaction patterns?</t>
  </si>
  <si>
    <t>Are dependent microservices prevented from executing until all required predecessor events have been successfully processed?</t>
  </si>
  <si>
    <t>Is there at least one event schema documented?</t>
  </si>
  <si>
    <t>Can event chains be visualized as process graphs?</t>
  </si>
  <si>
    <t>Are emitted events formally declared?</t>
  </si>
  <si>
    <t>Are emission conditions documented?</t>
  </si>
  <si>
    <t>Can producers and consumers of each event be mapped?</t>
  </si>
  <si>
    <t>Is every consumed event type explicitly declared?</t>
  </si>
  <si>
    <t>Is event consumption intent (why it is consumed) documented?</t>
  </si>
  <si>
    <t>Purpose: To determine whether each service explicitly declares which events it consumes. This is the consumer-side counterpart to emission declaration and is equally important for understanding event dependencies and impact analysis.</t>
  </si>
  <si>
    <t>Are parameter types and formats defined?</t>
  </si>
  <si>
    <t>Is dependency direction explicitly modeled?</t>
  </si>
  <si>
    <t>Is interface documentation machine-readable?</t>
  </si>
  <si>
    <t>Purpose: To evaluate whether the architecture's dependency model considers the broader structural context in which services operate, not just whether individual pairs of services are compatible. A service may be compatible with its direct dependencies but create problems when placed in the broader topology (e.g., circular dependencies, conflicting version requirements, or topology-level bottlenecks).</t>
  </si>
  <si>
    <t>Can operational alerts be triggered automatically when performance anomalies occur?</t>
  </si>
  <si>
    <t>Can workflow or process executions be paused and resumed during runtime?</t>
  </si>
  <si>
    <t>Can event routing or reactions be modified without redeploying all services?</t>
  </si>
  <si>
    <t>Can performance anomalies or bottlenecks be detected using system logs, metrics, or monitoring tools?</t>
  </si>
  <si>
    <t>Evidence includes: latency metrics per service or step, throughput monitoring, error rate tracking, consumer lag monitoring, distributed tracing, log aggregation with searchable workflow identifiers, and monitoring dashboards. The evaluator should assess whether the available signals are sufficient for root cause analysis, not just problem detection.</t>
  </si>
  <si>
    <t>To evaluate whether the architecture supports operational control over running workflow instances, specifically the ability to pause execution (e.g., for investigation, manual intervention, or external dependency resolution) and resume it later. This capability is important for handling exceptional situations without losing workflow state.</t>
  </si>
  <si>
    <t>Purpose: To assess whether the architecture includes automated alerting mechanisms that notify operators when performance anomalies, failures, or threshold violations occur. Detection without alerting requires operators to actively monitor dashboards, which is unreliable and unscalable.</t>
  </si>
  <si>
    <t>Purpose: To ensure invalid or malformed inputs are rejected before affecting system state.</t>
  </si>
  <si>
    <t>Evidence includes: Validation at service entry points, schema validation at consumption boundaries, and pre-processing checks before business logic. Distinguish structural validation (schema) from business validation (rules).</t>
  </si>
  <si>
    <t xml:space="preserve">Purpose: To verify that business rules are enforced locally within each responsible service, rather than relying on the assumption that upstream systems have already validated the data. </t>
  </si>
  <si>
    <t>Evidence includes: Validation logic in handlers, rule checks before state transitions, guard conditions. Must cover all entry points (APIs + event consumers).</t>
  </si>
  <si>
    <t xml:space="preserve">Purpose: To verify that structural correctness of events is enforced at integration boundaries through formal schema definitions. </t>
  </si>
  <si>
    <t>Evidence includes: Schema registries, producer/consumer validation, contract testing. If there are schema files but no enforcement, the answer is 'No'.</t>
  </si>
  <si>
    <t>Purpose: To ensure violations produce actionable operational signals. Even if an architecture can detect violations, the detection is only useful if it produces observable signals that operators can act upon.</t>
  </si>
  <si>
    <t>Evidence includes: Violation-specific logs, metrics, alerting rules, and dashboards showing correctness issues. If monitoring only covers infrastructure metrics (e.g., latency, throughput) but not correctness, the answer is 'No'.</t>
  </si>
  <si>
    <t>Evidence includes: State machine enforcement, sequence/version checks, transition validation logic, and handling of unexpected state combinations. If invalid or late events are silently dropped or ignored, this does not count as detection.</t>
  </si>
  <si>
    <t>Purpose: To determine whether the architecture can identify deviations from expected interaction protocols at runtime. Without detection, violations silently corrupt state or produce inconsistent workflow outcomes.</t>
  </si>
  <si>
    <t xml:space="preserve">Purpose: To evaluate whether the architecture prevents race conditions when multiple services or instances update the same workflow state concurrently. </t>
  </si>
  <si>
    <t>Evidence includes: Optimistic locking, version checks, conditional writes, transactions, or serialized processing (e.g., partition-based processing).</t>
  </si>
  <si>
    <t>Does the architecture include mechanisms to detect duplicate event deliveries?</t>
  </si>
  <si>
    <t>Purpose: To determine whether the system can identify when the same event has been delivered more than once, which is expected in event-driven architectures with at-least-once delivery semantics.</t>
  </si>
  <si>
    <t>Evidence includes: Event ID-based duplicate checks before processing, deduplication stores or caches that track previously seen event identifiers, exactly-once delivery configuration at the broker level, and consumer-side deduplication logic that compares incoming event IDs against processed records.</t>
  </si>
  <si>
    <t>When duplicate events are detected, does the architecture define explicit handling mechanisms?</t>
  </si>
  <si>
    <t>Purpose: To assess whether individual event handlers are designed so that processing the same event multiple times produces the same result as processing it once.</t>
  </si>
  <si>
    <t>Evidence includes: Conditional writes, upsert operations instead of inserts, idempotency keys, exactly-once processing configuration (e.g., Kafka exactly-once semantics enabled), version-based updates, or operations that are naturally safe under repetition.</t>
  </si>
  <si>
    <t xml:space="preserve">Purpose: To determine whether the architecture preserves event ordering for cases where workflow correctness depends on it. </t>
  </si>
  <si>
    <t>Evidence includes: Partitioning by entity key, ordered streams, sequence numbers, or version-based validation.</t>
  </si>
  <si>
    <t>Evidence includes: Persistent execution records, event sourcing, checkpointing, or saga state. The evaluator should distinguish between raw data recoverability (event logs and data stores contain the data) and execution position recoverability (the system can determine which step the workflow was on and what remains to be done). If raw data is recoverable but the workflow position must be inferred by correlating multiple disconnected sources, the answer is 'No'.</t>
  </si>
  <si>
    <t>Purpose: To ensure workflows can be traced and reconstructed.</t>
  </si>
  <si>
    <t>Evidence includes: entity-level identifiers (e.g., order ID) used consistently across all topics and services, transaction or correlation identifiers that link related events, and event identifiers or sequence numbers that enable causal chain reconstruction.</t>
  </si>
  <si>
    <t>Purpose: To verify that adding or removing service instances during horizontal scaling does not break event or request routing semantics.</t>
  </si>
  <si>
    <t>Evidence includes: Stable routing rules, partition reassignment mechanisms, and instance-independent routing.</t>
  </si>
  <si>
    <t xml:space="preserve">Purpose: To assess whether each service can be scaled (up or down) without requiring simultaneous scaling adjustments in other services. </t>
  </si>
  <si>
    <t>Evidence includes: Independent scaling configurations and absence of shared bottlenecks.</t>
  </si>
  <si>
    <t>Purpose: To assess whether each workflow instance (e.g., each order, each transaction) progresses through the workflow independently, without its outcome being affected by other concurrent instances.</t>
  </si>
  <si>
    <t>Evidence includes: Per-instance state stores, instance-scoped event processing, and absence of shared mutable state that affects instance progression. The evaluator should focus on whether one instance's progression can be blocked or altered by another instance's state.</t>
  </si>
  <si>
    <t>Purpose: To assess whether the dependencies between services within a workflow are architecturally visible, rather than being implicitly embedded in event topology. Explicit representation enables automated analysis, impact assessment, and correctness verification.</t>
  </si>
  <si>
    <t>Evidence includes: Workflow definitions that declare service dependencies (e.g., Step Functions state machines, BPMN process models), event interaction contracts, dependency graphs, or sequencing manifests. If dependencies are derivable only through manual analysis of scattered code, configuration, and event definitions, the answer is 'No'.</t>
  </si>
  <si>
    <t>Purpose: To ensure correct execution ordering across services.</t>
  </si>
  <si>
    <t xml:space="preserve">Evidence includes: Workflow orchestration, join patterns, or gating logic. If services simply react to events as they arrive with no mechanism to verify predecessor completion, the answer is 'No'. </t>
  </si>
  <si>
    <t>Purpose: To establish whether any formal event documentation exists.</t>
  </si>
  <si>
    <t xml:space="preserve">Evidence includes: Any formal event schema definition. </t>
  </si>
  <si>
    <t>Purpose: To support understanding of event propagation across the system.</t>
  </si>
  <si>
    <t>Evidence includes: Architecture diagrams showing event flow across services, generated graphs, or tooling.</t>
  </si>
  <si>
    <t>Purpose: To support safe evolution of event contracts.</t>
  </si>
  <si>
    <t>Evidence includes: Versioned schemas, compatibility policies, schema registries.</t>
  </si>
  <si>
    <t>Purpose: To make event production discoverable without reading code.</t>
  </si>
  <si>
    <t>Evidence includes: Event catalogs, API specs, or documentation listing produced events. If the only way to determine which events a service emits is to read its source code, the answer is 'No'.</t>
  </si>
  <si>
    <t xml:space="preserve">Evidence includes: Documentation of trigger conditions for each event, decision tables, state machine transition documentation, and event emission rules in architecture documentation. </t>
  </si>
  <si>
    <t>Purpose: To assess whether the conditions under which events are emitted are documented, not just the event types.</t>
  </si>
  <si>
    <t>Evidence includes: Event catalogues that link events to producers and consumers, architecture diagrams with event flows, tooling that generates producer-consumer maps from configuration or schemas, and centralised event registries.</t>
  </si>
  <si>
    <t>Purpose: To determine whether the architecture provides sufficient information to construct a complete producer-consumer map for every event type.</t>
  </si>
  <si>
    <t>Evidence includes: Event subscription declarations in service documentation, configuration files listing consumed event types, consumer group configurations with documented event bindings, and API specifications listing consumed events. If the only way to determine which events a service consumes is to read its source code or inspect runtime subscriptions, the answer is 'No'.</t>
  </si>
  <si>
    <t xml:space="preserve">Purpose: To assess whether the documentation explains why each service consumes each event, not just that it does. </t>
  </si>
  <si>
    <t>Evidence includes: Documentation of business purpose for each event subscription, reaction descriptions in architecture documentation, and consumer documentation that explains the processing logic triggered by each event.</t>
  </si>
  <si>
    <t>Purpose: To assess whether the data types and formats of service interface parameters (inputs and outputs) are formally defined.</t>
  </si>
  <si>
    <t>Evidence includes: API specifications with typed parameters, event schemas with typed fields, and interface documentation that specifies data types, formats, and constraints.</t>
  </si>
  <si>
    <t xml:space="preserve">Purpose: To determine whether the directional relationships between services (which service depends on which) are explicitly documented. </t>
  </si>
  <si>
    <t>Evidence includes: Architecture diagrams with directed dependency arrows, and service catalogues with dependency declarations. If dependency direction can only be inferred from event subscriptions or code inspection, the answer is 'No'.</t>
  </si>
  <si>
    <t>Purpose: To determine whether service interface documentation is available in a format that can be consumed by automated tooling for code generation, contract testing, compatibility checking, and API gateway configuration.</t>
  </si>
  <si>
    <t xml:space="preserve">Evidence includes: OpenAPI/Swagger specifications, gRPC protobuf definitions, AsyncAPI specifications for event-driven interfaces, GraphQL schemas, and any structured format that can be parsed by tooling. PDF documents, wiki pages, or README files describing interfaces are not machine-readable. </t>
  </si>
  <si>
    <t>Does dependency modeling incorporate structural context beyond pairwise compatibility?</t>
  </si>
  <si>
    <t>Evidence includes: topology-level dependency analysis, architectural fitness functions, dependency graph analysis that considers transitive dependencies, and documentation that addresses structural properties beyond pairwise service compatibility. This is an advanced capability, a 'Yes' answer requires evidence that the architecture explicitly considers neighbourhood or topology-level structural properties.</t>
  </si>
  <si>
    <t>Are metrics available to evaluate process outcomes and efficiency?</t>
  </si>
  <si>
    <t>Purpose: To assess whether the architecture provides measurable indicators of process-level performance and outcomes. This question evaluates the availability of business-relevant metrics, not just infrastructure metrics.</t>
  </si>
  <si>
    <t>Evidence includes: completion rate metrics, processing time measurements, failure rate counters, throughput metrics per workflow type, and business-level dashboards. Platform-level infrastructure metrics (e.g., Lambda invocation counts, Kafka consumer lag) count if they can be correlated to process-level outcomes.</t>
  </si>
  <si>
    <t>Evidence includes: configured alerting rules, threshold-based notifications, anomaly detection configurations, and automated escalation workflows. If anomalies produce log output but no automated notification or trigger pathway is defined, the answer is 'No'.</t>
  </si>
  <si>
    <t xml:space="preserve">Evidence includes: Workflow engine pause/resume capabilities (e.g., Step Functions wait states), saga pause mechanisms, manual intervention points in workflow definitions, and operational tooling that allows instance-level control. If the only operational states are 'running' and 'stopped' applied globally to entire services, the answer is 'No'. </t>
  </si>
  <si>
    <t>Purpose: To assess whether event routing rules, reaction logic, or processing configuration can be changed without requiring code modification and full redeployment of affected services. This capability is important for operational agility and incident response.</t>
  </si>
  <si>
    <t>Evidence includes: Dynamic configuration systems (e.g., feature flags, configuration services), event bus routing rules that can be modified at runtime, externalised business thresholds or parameters, and hot-reloadable configuration.</t>
  </si>
  <si>
    <t>Purpose: To evaluate whether the observability infrastructure is sufficient to detect performance anomalies and localise bottlenecks within the workflow. In event-driven systems, performance problems can be difficult to diagnose because they may manifest far from their source.</t>
  </si>
  <si>
    <t>Q4.1</t>
  </si>
  <si>
    <t>Q4.2</t>
  </si>
  <si>
    <t>Q4.3</t>
  </si>
  <si>
    <t>Q4.4</t>
  </si>
  <si>
    <t>Q4.5</t>
  </si>
  <si>
    <t>Q4.6</t>
  </si>
  <si>
    <t>Q4.7</t>
  </si>
  <si>
    <t>Q5.1</t>
  </si>
  <si>
    <t>Q5.2</t>
  </si>
  <si>
    <t>Q5.3</t>
  </si>
  <si>
    <t>Q5.4</t>
  </si>
  <si>
    <t>Q5.5</t>
  </si>
  <si>
    <t>Q6.1</t>
  </si>
  <si>
    <t>Q6.2</t>
  </si>
  <si>
    <t>Q6.3</t>
  </si>
  <si>
    <t>Q6.4</t>
  </si>
  <si>
    <t>Q6.5</t>
  </si>
  <si>
    <t>Q6.6</t>
  </si>
  <si>
    <t>Q6.7</t>
  </si>
  <si>
    <t>Q7.1</t>
  </si>
  <si>
    <t>Q7.2</t>
  </si>
  <si>
    <t>Q7.3</t>
  </si>
  <si>
    <t>Q7.4</t>
  </si>
  <si>
    <t>Are event schemas documented and versioned?</t>
  </si>
  <si>
    <t>Q6.8</t>
  </si>
  <si>
    <t>Fill answers (Y/N) in the category sheets. This dashboard aggregates results automatically.</t>
  </si>
  <si>
    <t>SCORING RULE: A category achieves Level N when ALL questions at Level 2 through Level N are answered 'Y'. The reported level is the highest N satisfying this condition. If not all Level 2 questions are met, the category is Level 1 (Initial).</t>
  </si>
  <si>
    <t>Category</t>
  </si>
  <si>
    <t>Level</t>
  </si>
  <si>
    <t>Question ID</t>
  </si>
  <si>
    <t>Answer (Y/N)</t>
  </si>
  <si>
    <t>Workflow Progression Guarantees</t>
  </si>
  <si>
    <t>Constraint Enforcement &amp; Protocol Safety</t>
  </si>
  <si>
    <t>Concurrency &amp; Idempotency Control</t>
  </si>
  <si>
    <t>Fault Handling &amp; Recovery</t>
  </si>
  <si>
    <t>Runtime Governance</t>
  </si>
  <si>
    <t>Events Documentation</t>
  </si>
  <si>
    <t>Microservices Documentation</t>
  </si>
  <si>
    <t>MATURITY PROFILE SUMMARY</t>
  </si>
  <si>
    <t>Max Level</t>
  </si>
  <si>
    <t>L2 Met?</t>
  </si>
  <si>
    <t>L3 Met?</t>
  </si>
  <si>
    <t>L4 Met?</t>
  </si>
  <si>
    <t>L5 Met?</t>
  </si>
  <si>
    <t>Overall %</t>
  </si>
  <si>
    <t>—</t>
  </si>
  <si>
    <t>Purpose: To determine whether the execution state of a workflow instance can be reconstructed at any point, for debugging, audit, or recovery purposes, without requiring manual correlation of disparate data sources.</t>
  </si>
  <si>
    <t>CRITERIA COVERAGE: % of Questions Answered Yes by Level</t>
  </si>
  <si>
    <t>P2</t>
  </si>
  <si>
    <t>P3</t>
  </si>
  <si>
    <t>P4</t>
  </si>
  <si>
    <t>P5</t>
  </si>
  <si>
    <t>Cumulative Achieved Level</t>
  </si>
  <si>
    <t>Level-Completion Percentages</t>
  </si>
  <si>
    <t>Process Consistency Maturity Model (PCMM)</t>
  </si>
  <si>
    <t>Process Consistency Maturity Model: Assessment Dashboard</t>
  </si>
  <si>
    <t>WHAT THIS MODEL ASSESSES</t>
  </si>
  <si>
    <t>The PCMM evaluates the process consistency maturity of an event-driven microservice architecture. Process consistency refers to the architecture's ability to guarantee correct, complete, and ordered execution of distributed business workflows across independent services that communicate asynchronously through events.
The model assesses seven capability categories:
  1. Workflow Progression Guarantees
  2. Constraint Enforcement and Protocol Safety
  3. Concurrency and Idempotency Control
  4. Fault Handling and Recovery
  5. Runtime Governance
  6. Events Documentation
  7. Microservices Documentation
Each category is assessed independently across seven dimensions. The result of an assessment is four level-completion percentages, one for each of Levels 2 through 5, expressing how many of that level's questions are satisfied, out of a fixed total: 13 questions at Level 2, 11 at Level 3, 10 at Level 4, and 6 at Level 5.
The Dashboard sheet aggregates all answers automatically. The Graphs sheet visualizes three complementary views of the assessment output.</t>
  </si>
  <si>
    <t>MATURITY LEVELS</t>
  </si>
  <si>
    <t>The model defines five levels. Level 1 is the default state and carries no questions; it represents the absence of systematic practices.
  Level 1: Initial - No systematic practices are in place.
  Level 2: Foundational - Basic, commonly adopted mechanisms are present.
  Level 3: Structured - Intentional and explicit mechanisms are in place, reflectingdeliberate architectural decisions beyond baseline.
  Level 4: Managed - Comprehensive and formalized practices are established.
  Level 5: Optimized - Advanced mechanisms are in place, representing the most mature state of practice identified in the literature.
Scoring output: for each Level N in {2, 3, 4, 5}, the model computes:
    P(N) = questions at Level N answered Y  /  total questions at Level N  × 100%
The four percentages (P2, P3, P4, P5) are the complete scoring output of the assessment. The denominators are fixed by the model regardless of which architecture is being assessed. A practitioner wishing to improve can inspect the percentage at the next level, identify which questions remain unanswered, and use the category breakdown to determine where to focus effort.</t>
  </si>
  <si>
    <t>HOW TO ANSWER THE QUESTIONS</t>
  </si>
  <si>
    <r>
      <t xml:space="preserve">1. FAMILIARIZE YOURSELF WITH THE ARCHITECTURE FIRST.
   Before answering, inspect the available artifacts: source code, workflow definitions, infrastructure configuration, event schemas, and documentation. If you are already familiar with the architecture, you may proceed directly to the questions.
2. ANSWER EACH QUESTION </t>
    </r>
    <r>
      <rPr>
        <b/>
        <sz val="14"/>
        <color theme="1"/>
        <rFont val="Calibri"/>
        <family val="2"/>
      </rPr>
      <t>Y</t>
    </r>
    <r>
      <rPr>
        <sz val="14"/>
        <color theme="1"/>
        <rFont val="Calibri"/>
        <family val="2"/>
      </rPr>
      <t xml:space="preserve"> OR </t>
    </r>
    <r>
      <rPr>
        <b/>
        <sz val="14"/>
        <color theme="1"/>
        <rFont val="Calibri"/>
        <family val="2"/>
      </rPr>
      <t>N</t>
    </r>
    <r>
      <rPr>
        <sz val="14"/>
        <color theme="1"/>
        <rFont val="Calibri"/>
        <family val="2"/>
      </rPr>
      <t xml:space="preserve"> IN THE ANSWER CELL.
   Go through each category sheet in order. For each question, read the Purpose statement and the Evidence guidance. Locate the relevant part of the architecture and record your determination. Do not leave cells blank.
3. BASE YOUR ANSWER ON OBSERVABLE EVIDENCE, NOT INTENT.
   The question asks whether the mechanism is present and functioning, not whether it is planned or partially implemented. A mechanism that exists in one service but not consistently across the architecture should generally be answered N unless the question specifies otherwise.
4. WHEN IN DOUBT, ANSWER N.
   If the evidence guidance describes a threshold condition (e.g., "all entry points") and the implementation does not meet that threshold, the answer is N. Partial satisfaction does not earn a Y.
5. HIGHER-LEVEL QUESTIONS ANSWERED Y DO NOT RAISE THE PERCENTAGE AT LOWER LEVELS.
   Each level's percentage is computed independently. Answering a Level 4 question Y does not affect P2 or P3. Gaps where a higher-level question is satisfied but a lower-level one is not should be noted as diagnostic findings.
The Dashboard sheet aggregates all answers automatically.
The Graphs sheet visualizes the resulting assessment output.</t>
    </r>
  </si>
  <si>
    <t>GRAPHS</t>
  </si>
  <si>
    <t>The Graphs sheet presents three views of the assessment output. Each view highlights a different aspect of the results and is intended to be read alongside the others.
- The level-completion bar chart shows P2 through P5 directly. This is the primary output: the four numbers a practitioner acts on.
- The radar chart shows the highest level fully satisfied per category, plotted across all seven categories simultaneously. It provides a complementary view of where the architecture is strong and where it is weakest relative to its own ceiling.
- The category bar chart shows the raw proportion of questions answered Y within each category, without applying any level threshold. It surfaces partial capability even where a full level has not been achieved, and is useful for identifying which specific categories are holding back a given level percentage.</t>
  </si>
  <si>
    <t>Level-Completion Percentages (P2 - P5)</t>
  </si>
  <si>
    <t>Maturity Profile by Category</t>
  </si>
  <si>
    <t>Each bar shows the percentage of questions answered Y at that level, computed against the model's fixed denominators: 13 questions at Level 2, 11 at Level 3, 10 at Level 4, and 6 at Level 5.
To improve: identify the lowest level where the percentage is not yet 100%, then use the Category Chart below to find which categories are contributing unanswered questions at that level.</t>
  </si>
  <si>
    <t>Each axis shows the highest level fully satisfied for that category. The dashed outline marks the maximum achievable level per category: WPG caps at Level 3, CIC and RG at Level 4, the remaining four at Level 5.
An even, outward shape indicates balanced maturity. A collapsed or asymmetric shape reveals categories that are weakest relative to their own ceiling.</t>
  </si>
  <si>
    <t>Raw Question Coverage by Category</t>
  </si>
  <si>
    <t>Each bar shows the raw proportion of questions answered Y within that category, without applying any level threshold. A category may show partial progress here while not yet having fully satisfied any additional level.
Use this chart to identify which specific categories are holding back a given level-completion percentage in the Primary Output chart above.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</si>
</sst>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2"/>
      <color theme="1"/>
      <name val="Aptos Narrow"/>
      <family val="2"/>
      <scheme val="minor"/>
    </font>
    <font>
      <sz val="14"/>
      <color rgb="FF000000"/>
      <name val="Calibri"/>
      <family val="2"/>
    </font>
    <font>
      <sz val="14"/>
      <color theme="1"/>
      <name val="Calibri"/>
      <family val="2"/>
    </font>
    <font>
      <sz val="8"/>
      <name val="Aptos Narrow"/>
      <family val="2"/>
      <scheme val="minor"/>
    </font>
    <font>
      <b/>
      <sz val="14"/>
      <color theme="0"/>
      <name val="Calibri"/>
      <family val="2"/>
    </font>
    <font>
      <b/>
      <sz val="14"/>
      <color theme="1"/>
      <name val="Calibri"/>
      <family val="2"/>
    </font>
    <font>
      <b/>
      <sz val="11"/>
      <color theme="1"/>
      <name val="Calibri"/>
      <family val="2"/>
    </font>
    <font>
      <b/>
      <sz val="14"/>
      <color rgb="FFFFFFFF"/>
      <name val="Calibri"/>
      <family val="2"/>
    </font>
    <font>
      <sz val="14"/>
      <color theme="1"/>
      <name val="Aptos Narrow"/>
      <family val="2"/>
      <scheme val="minor"/>
    </font>
    <font>
      <b/>
      <sz val="14"/>
      <color rgb="FF000000"/>
      <name val="Calibri"/>
      <family val="2"/>
    </font>
    <font>
      <sz val="14"/>
      <color rgb="FF888888"/>
      <name val="Calibri"/>
      <family val="2"/>
    </font>
    <font>
      <sz val="14"/>
      <color rgb="FFFFFFFF"/>
      <name val="Calibri"/>
      <family val="2"/>
    </font>
    <font>
      <sz val="12"/>
      <color theme="1"/>
      <name val="Calibri"/>
      <family val="2"/>
    </font>
    <font>
      <b/>
      <sz val="14"/>
      <color theme="1"/>
      <name val="Aptos Narrow"/>
      <scheme val="minor"/>
    </font>
    <font>
      <b/>
      <sz val="18"/>
      <color rgb="FFFFFFFF"/>
      <name val="Calibri"/>
      <family val="2"/>
    </font>
  </fonts>
  <fills count="22">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rgb="FF1F3864"/>
        <bgColor rgb="FF333399"/>
      </patternFill>
    </fill>
    <fill>
      <patternFill patternType="solid">
        <fgColor rgb="FFDDEEFF"/>
        <bgColor rgb="FFEAF2FB"/>
      </patternFill>
    </fill>
    <fill>
      <patternFill patternType="solid">
        <fgColor rgb="FFFFFDE7"/>
        <bgColor rgb="FFFAFAFA"/>
      </patternFill>
    </fill>
    <fill>
      <patternFill patternType="solid">
        <fgColor rgb="FFFAFAFA"/>
        <bgColor rgb="FFF7FBFF"/>
      </patternFill>
    </fill>
    <fill>
      <patternFill patternType="solid">
        <fgColor rgb="FFEAF2FB"/>
        <bgColor rgb="FFF0F0F0"/>
      </patternFill>
    </fill>
    <fill>
      <patternFill patternType="solid">
        <fgColor rgb="FFC6E0B4"/>
        <bgColor rgb="FFC6EFCE"/>
      </patternFill>
    </fill>
    <fill>
      <patternFill patternType="solid">
        <fgColor rgb="FFFFE699"/>
        <bgColor rgb="FFFFF2CC"/>
      </patternFill>
    </fill>
    <fill>
      <patternFill patternType="solid">
        <fgColor rgb="FFF4B942"/>
        <bgColor rgb="FFFFE699"/>
      </patternFill>
    </fill>
    <fill>
      <patternFill patternType="solid">
        <fgColor rgb="FFF0F0F0"/>
        <bgColor rgb="FFF4F4F4"/>
      </patternFill>
    </fill>
    <fill>
      <patternFill patternType="solid">
        <fgColor theme="3" tint="0.89999084444715716"/>
        <bgColor indexed="64"/>
      </patternFill>
    </fill>
    <fill>
      <patternFill patternType="solid">
        <fgColor theme="3" tint="0.499984740745262"/>
        <bgColor indexed="64"/>
      </patternFill>
    </fill>
    <fill>
      <patternFill patternType="solid">
        <fgColor theme="3" tint="0.499984740745262"/>
        <bgColor rgb="FF0066CC"/>
      </patternFill>
    </fill>
    <fill>
      <patternFill patternType="solid">
        <fgColor theme="3" tint="0.249977111117893"/>
        <bgColor rgb="FF333399"/>
      </patternFill>
    </fill>
    <fill>
      <patternFill patternType="solid">
        <fgColor theme="0" tint="-4.9989318521683403E-2"/>
        <bgColor rgb="FFFFFDE7"/>
      </patternFill>
    </fill>
    <fill>
      <patternFill patternType="solid">
        <fgColor rgb="FFFFF3CC"/>
        <bgColor indexed="64"/>
      </patternFill>
    </fill>
    <fill>
      <patternFill patternType="solid">
        <fgColor rgb="FFEAF2FB"/>
        <bgColor indexed="64"/>
      </patternFill>
    </fill>
    <fill>
      <patternFill patternType="solid">
        <fgColor rgb="FFFAFAFA"/>
        <bgColor rgb="FFFFFDE7"/>
      </patternFill>
    </fill>
    <fill>
      <patternFill patternType="solid">
        <fgColor theme="3" tint="0.249977111117893"/>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BFBFBF"/>
      </left>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
      <left style="thin">
        <color rgb="FFBFBFBF"/>
      </left>
      <right/>
      <top style="thin">
        <color rgb="FFBFBFBF"/>
      </top>
      <bottom/>
      <diagonal/>
    </border>
    <border>
      <left style="thin">
        <color indexed="64"/>
      </left>
      <right style="thin">
        <color rgb="FFBFBFBF"/>
      </right>
      <top style="thin">
        <color rgb="FFBFBFBF"/>
      </top>
      <bottom style="thin">
        <color rgb="FFBFBFBF"/>
      </bottom>
      <diagonal/>
    </border>
    <border>
      <left style="thin">
        <color indexed="64"/>
      </left>
      <right style="thin">
        <color rgb="FFBFBFBF"/>
      </right>
      <top style="thin">
        <color rgb="FFBFBFBF"/>
      </top>
      <bottom/>
      <diagonal/>
    </border>
    <border>
      <left/>
      <right style="thin">
        <color rgb="FFBFBFBF"/>
      </right>
      <top style="thin">
        <color indexed="64"/>
      </top>
      <bottom/>
      <diagonal/>
    </border>
    <border>
      <left style="thin">
        <color rgb="FFBFBFBF"/>
      </left>
      <right style="thin">
        <color rgb="FFBFBFBF"/>
      </right>
      <top/>
      <bottom style="thin">
        <color rgb="FFBFBFBF"/>
      </bottom>
      <diagonal/>
    </border>
    <border>
      <left style="thin">
        <color rgb="FFBFBFBF"/>
      </left>
      <right style="thin">
        <color rgb="FFBFBFBF"/>
      </right>
      <top style="thin">
        <color theme="1"/>
      </top>
      <bottom style="thin">
        <color rgb="FFBFBFBF"/>
      </bottom>
      <diagonal/>
    </border>
    <border>
      <left style="thin">
        <color rgb="FFBFBFBF"/>
      </left>
      <right/>
      <top style="thin">
        <color theme="1"/>
      </top>
      <bottom style="thin">
        <color rgb="FFBFBFBF"/>
      </bottom>
      <diagonal/>
    </border>
    <border>
      <left style="thin">
        <color theme="1"/>
      </left>
      <right style="thin">
        <color rgb="FFBFBFBF"/>
      </right>
      <top style="thin">
        <color theme="1"/>
      </top>
      <bottom style="thin">
        <color rgb="FFBFBFBF"/>
      </bottom>
      <diagonal/>
    </border>
    <border>
      <left/>
      <right/>
      <top style="thin">
        <color theme="1"/>
      </top>
      <bottom style="thin">
        <color rgb="FFBFBFBF"/>
      </bottom>
      <diagonal/>
    </border>
    <border>
      <left style="thin">
        <color rgb="FFBFBFBF"/>
      </left>
      <right/>
      <top/>
      <bottom style="thin">
        <color rgb="FFBFBFBF"/>
      </bottom>
      <diagonal/>
    </border>
    <border>
      <left/>
      <right/>
      <top/>
      <bottom style="thin">
        <color rgb="FFBFBFBF"/>
      </bottom>
      <diagonal/>
    </border>
    <border>
      <left style="thin">
        <color rgb="FFBFBFBF"/>
      </left>
      <right/>
      <top/>
      <bottom/>
      <diagonal/>
    </border>
    <border>
      <left style="thin">
        <color theme="1"/>
      </left>
      <right style="thin">
        <color theme="1"/>
      </right>
      <top style="thin">
        <color theme="1"/>
      </top>
      <bottom style="thin">
        <color theme="1"/>
      </bottom>
      <diagonal/>
    </border>
    <border>
      <left style="thin">
        <color theme="1"/>
      </left>
      <right/>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s>
  <cellStyleXfs count="1">
    <xf numFmtId="0" fontId="0" fillId="0" borderId="0"/>
  </cellStyleXfs>
  <cellXfs count="110">
    <xf numFmtId="0" fontId="0" fillId="0" borderId="0" xfId="0"/>
    <xf numFmtId="0" fontId="1" fillId="0" borderId="0" xfId="0" applyFont="1" applyAlignment="1">
      <alignment horizontal="center" vertical="center"/>
    </xf>
    <xf numFmtId="0" fontId="0" fillId="0" borderId="0" xfId="0" applyAlignment="1">
      <alignment horizontal="center" vertical="center"/>
    </xf>
    <xf numFmtId="0" fontId="2" fillId="0" borderId="0" xfId="0" applyFont="1" applyAlignment="1">
      <alignment horizontal="left"/>
    </xf>
    <xf numFmtId="0" fontId="0" fillId="0" borderId="0" xfId="0" applyAlignment="1">
      <alignment horizontal="left"/>
    </xf>
    <xf numFmtId="0" fontId="2" fillId="3" borderId="1" xfId="0" applyFont="1" applyFill="1" applyBorder="1" applyAlignment="1">
      <alignment horizontal="right" vertical="center"/>
    </xf>
    <xf numFmtId="0" fontId="2" fillId="0" borderId="0" xfId="0" applyFont="1" applyAlignment="1">
      <alignment vertical="center" wrapText="1"/>
    </xf>
    <xf numFmtId="0" fontId="4" fillId="0" borderId="0" xfId="0" applyFont="1" applyAlignment="1">
      <alignment vertical="top"/>
    </xf>
    <xf numFmtId="0" fontId="0" fillId="0" borderId="0" xfId="0" applyAlignment="1">
      <alignment vertical="center"/>
    </xf>
    <xf numFmtId="0" fontId="2" fillId="0" borderId="0" xfId="0" applyFont="1" applyAlignment="1">
      <alignment vertical="center"/>
    </xf>
    <xf numFmtId="0" fontId="5" fillId="0" borderId="0" xfId="0" applyFont="1" applyAlignment="1">
      <alignment vertical="center" wrapText="1"/>
    </xf>
    <xf numFmtId="0" fontId="5" fillId="0" borderId="0" xfId="0" applyFont="1" applyAlignment="1">
      <alignment vertical="center"/>
    </xf>
    <xf numFmtId="0" fontId="1" fillId="0" borderId="0" xfId="0" applyFont="1" applyAlignment="1">
      <alignment vertical="center"/>
    </xf>
    <xf numFmtId="0" fontId="2" fillId="0" borderId="0" xfId="0" applyFont="1"/>
    <xf numFmtId="0" fontId="2" fillId="3" borderId="2" xfId="0" applyFont="1" applyFill="1" applyBorder="1" applyAlignment="1">
      <alignment horizontal="right" vertical="center"/>
    </xf>
    <xf numFmtId="0" fontId="6" fillId="0" borderId="1" xfId="0" applyFont="1" applyBorder="1" applyAlignment="1">
      <alignment horizontal="center" vertical="center" wrapText="1"/>
    </xf>
    <xf numFmtId="0" fontId="8" fillId="0" borderId="0" xfId="0" applyFont="1"/>
    <xf numFmtId="0" fontId="1" fillId="7" borderId="5" xfId="0" applyFont="1" applyFill="1" applyBorder="1" applyAlignment="1">
      <alignment horizontal="center" vertical="center" wrapText="1"/>
    </xf>
    <xf numFmtId="0" fontId="1" fillId="8" borderId="5" xfId="0" applyFont="1" applyFill="1" applyBorder="1" applyAlignment="1">
      <alignment horizontal="left" vertical="center" wrapText="1"/>
    </xf>
    <xf numFmtId="0" fontId="1" fillId="9" borderId="5" xfId="0" applyFont="1" applyFill="1" applyBorder="1" applyAlignment="1">
      <alignment horizontal="center" vertical="center" wrapText="1"/>
    </xf>
    <xf numFmtId="0" fontId="1" fillId="11" borderId="5" xfId="0" applyFont="1" applyFill="1" applyBorder="1" applyAlignment="1">
      <alignment horizontal="center" vertical="center" wrapText="1"/>
    </xf>
    <xf numFmtId="0" fontId="1" fillId="10" borderId="5" xfId="0" applyFont="1" applyFill="1" applyBorder="1" applyAlignment="1">
      <alignment horizontal="center" vertical="center" wrapText="1"/>
    </xf>
    <xf numFmtId="9" fontId="1" fillId="7" borderId="5" xfId="0" applyNumberFormat="1" applyFont="1" applyFill="1" applyBorder="1" applyAlignment="1">
      <alignment horizontal="center" vertical="center" wrapText="1"/>
    </xf>
    <xf numFmtId="0" fontId="10" fillId="12" borderId="5" xfId="0" applyFont="1" applyFill="1" applyBorder="1" applyAlignment="1">
      <alignment horizontal="center" vertical="center" wrapText="1"/>
    </xf>
    <xf numFmtId="0" fontId="0" fillId="14" borderId="0" xfId="0" applyFill="1" applyAlignment="1">
      <alignment horizontal="center" vertical="center"/>
    </xf>
    <xf numFmtId="0" fontId="8" fillId="0" borderId="0" xfId="0" applyFont="1" applyAlignment="1">
      <alignment horizontal="center" vertical="center"/>
    </xf>
    <xf numFmtId="0" fontId="5" fillId="5"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5" fillId="9" borderId="1" xfId="0" applyFont="1" applyFill="1" applyBorder="1" applyAlignment="1">
      <alignment horizontal="center" vertical="center" wrapText="1"/>
    </xf>
    <xf numFmtId="0" fontId="2" fillId="9" borderId="1" xfId="0" applyFont="1" applyFill="1" applyBorder="1" applyAlignment="1">
      <alignment horizontal="center" vertical="center" wrapText="1"/>
    </xf>
    <xf numFmtId="0" fontId="5" fillId="10" borderId="1" xfId="0" applyFont="1" applyFill="1" applyBorder="1" applyAlignment="1">
      <alignment horizontal="center" vertical="center" wrapText="1"/>
    </xf>
    <xf numFmtId="0" fontId="2" fillId="10" borderId="1" xfId="0" applyFont="1" applyFill="1" applyBorder="1" applyAlignment="1">
      <alignment horizontal="center" vertical="center" wrapText="1"/>
    </xf>
    <xf numFmtId="0" fontId="5" fillId="11" borderId="1" xfId="0" applyFont="1" applyFill="1" applyBorder="1" applyAlignment="1">
      <alignment horizontal="center" vertical="center" wrapText="1"/>
    </xf>
    <xf numFmtId="0" fontId="2" fillId="11" borderId="1" xfId="0" applyFont="1" applyFill="1" applyBorder="1" applyAlignment="1">
      <alignment horizontal="center" vertical="center" wrapText="1"/>
    </xf>
    <xf numFmtId="0" fontId="8" fillId="0" borderId="1" xfId="0" applyFont="1" applyBorder="1"/>
    <xf numFmtId="0" fontId="7" fillId="16" borderId="1" xfId="0" applyFont="1" applyFill="1" applyBorder="1" applyAlignment="1">
      <alignment horizontal="center" vertical="center" wrapText="1"/>
    </xf>
    <xf numFmtId="0" fontId="7" fillId="15" borderId="5" xfId="0" applyFont="1" applyFill="1" applyBorder="1" applyAlignment="1">
      <alignment horizontal="center" vertical="center" wrapText="1"/>
    </xf>
    <xf numFmtId="0" fontId="9" fillId="6" borderId="5" xfId="0" applyFont="1" applyFill="1" applyBorder="1" applyAlignment="1">
      <alignment horizontal="left" vertical="center" wrapText="1"/>
    </xf>
    <xf numFmtId="0" fontId="4" fillId="14" borderId="1" xfId="0" applyFont="1" applyFill="1" applyBorder="1" applyAlignment="1">
      <alignment horizontal="center" vertical="top"/>
    </xf>
    <xf numFmtId="0" fontId="2"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4" xfId="0" applyFont="1" applyBorder="1" applyAlignment="1">
      <alignment horizontal="left" vertical="center" wrapText="1"/>
    </xf>
    <xf numFmtId="0" fontId="5" fillId="13" borderId="1" xfId="0" applyFont="1" applyFill="1" applyBorder="1" applyAlignment="1">
      <alignment horizontal="left" vertical="center" wrapText="1"/>
    </xf>
    <xf numFmtId="0" fontId="5" fillId="13" borderId="2" xfId="0" applyFont="1" applyFill="1" applyBorder="1" applyAlignment="1">
      <alignment horizontal="left" vertical="center" wrapText="1"/>
    </xf>
    <xf numFmtId="0" fontId="5" fillId="13" borderId="4" xfId="0" applyFont="1" applyFill="1" applyBorder="1" applyAlignment="1">
      <alignment horizontal="left" vertical="center" wrapText="1"/>
    </xf>
    <xf numFmtId="0" fontId="5" fillId="13" borderId="1" xfId="0" applyFont="1" applyFill="1" applyBorder="1" applyAlignment="1">
      <alignment horizontal="left" vertical="center"/>
    </xf>
    <xf numFmtId="0" fontId="2" fillId="0" borderId="3" xfId="0" applyFont="1" applyBorder="1" applyAlignment="1">
      <alignment horizontal="left" vertical="center" wrapText="1"/>
    </xf>
    <xf numFmtId="0" fontId="4" fillId="14" borderId="3" xfId="0" applyFont="1" applyFill="1" applyBorder="1" applyAlignment="1">
      <alignment horizontal="center" vertical="top"/>
    </xf>
    <xf numFmtId="0" fontId="4" fillId="14" borderId="6" xfId="0" applyFont="1" applyFill="1" applyBorder="1" applyAlignment="1">
      <alignment horizontal="center" vertical="top"/>
    </xf>
    <xf numFmtId="0" fontId="4" fillId="14" borderId="7" xfId="0" applyFont="1" applyFill="1" applyBorder="1" applyAlignment="1">
      <alignment horizontal="center" vertical="top"/>
    </xf>
    <xf numFmtId="0" fontId="5" fillId="2" borderId="1" xfId="0" applyFont="1" applyFill="1" applyBorder="1" applyAlignment="1">
      <alignment horizontal="left" vertical="center"/>
    </xf>
    <xf numFmtId="0" fontId="2" fillId="13" borderId="1" xfId="0" applyFont="1" applyFill="1" applyBorder="1" applyAlignment="1">
      <alignment horizontal="left" vertical="center" wrapText="1"/>
    </xf>
    <xf numFmtId="0" fontId="5" fillId="5" borderId="1" xfId="0" applyFont="1" applyFill="1" applyBorder="1" applyAlignment="1">
      <alignment horizontal="center" vertical="center" wrapText="1"/>
    </xf>
    <xf numFmtId="0" fontId="5" fillId="9" borderId="1" xfId="0" applyFont="1" applyFill="1" applyBorder="1" applyAlignment="1">
      <alignment horizontal="center" vertical="center" wrapText="1"/>
    </xf>
    <xf numFmtId="0" fontId="5" fillId="11" borderId="1" xfId="0" applyFont="1" applyFill="1" applyBorder="1" applyAlignment="1">
      <alignment horizontal="center" vertical="center" wrapText="1"/>
    </xf>
    <xf numFmtId="0" fontId="7" fillId="16" borderId="8" xfId="0" applyFont="1" applyFill="1" applyBorder="1" applyAlignment="1">
      <alignment horizontal="center" vertical="center" wrapText="1"/>
    </xf>
    <xf numFmtId="0" fontId="7" fillId="16" borderId="9" xfId="0" applyFont="1" applyFill="1" applyBorder="1" applyAlignment="1">
      <alignment horizontal="center" vertical="center" wrapText="1"/>
    </xf>
    <xf numFmtId="0" fontId="7" fillId="16" borderId="10"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11" fillId="15" borderId="1" xfId="0" applyFont="1" applyFill="1" applyBorder="1" applyAlignment="1">
      <alignment horizontal="left" vertical="center" wrapText="1"/>
    </xf>
    <xf numFmtId="0" fontId="12" fillId="17" borderId="1" xfId="0" applyFont="1" applyFill="1" applyBorder="1" applyAlignment="1">
      <alignment horizontal="left" vertical="center" wrapText="1"/>
    </xf>
    <xf numFmtId="0" fontId="5" fillId="10" borderId="1" xfId="0" applyFont="1" applyFill="1" applyBorder="1" applyAlignment="1">
      <alignment horizontal="center" vertical="center" wrapText="1"/>
    </xf>
    <xf numFmtId="0" fontId="1" fillId="8" borderId="11" xfId="0" applyFont="1" applyFill="1" applyBorder="1" applyAlignment="1">
      <alignment horizontal="left" vertical="center" wrapText="1"/>
    </xf>
    <xf numFmtId="9" fontId="1" fillId="7" borderId="11" xfId="0" applyNumberFormat="1" applyFont="1" applyFill="1" applyBorder="1" applyAlignment="1">
      <alignment horizontal="center" vertical="center" wrapText="1"/>
    </xf>
    <xf numFmtId="0" fontId="7" fillId="15" borderId="8" xfId="0" applyFont="1" applyFill="1" applyBorder="1" applyAlignment="1">
      <alignment horizontal="center" vertical="center" wrapText="1"/>
    </xf>
    <xf numFmtId="0" fontId="10" fillId="12" borderId="8" xfId="0" applyFont="1" applyFill="1" applyBorder="1" applyAlignment="1">
      <alignment horizontal="center" vertical="center" wrapText="1"/>
    </xf>
    <xf numFmtId="9" fontId="1" fillId="7" borderId="8" xfId="0" applyNumberFormat="1" applyFont="1" applyFill="1" applyBorder="1" applyAlignment="1">
      <alignment horizontal="center" vertical="center" wrapText="1"/>
    </xf>
    <xf numFmtId="0" fontId="7" fillId="15" borderId="1" xfId="0" applyFont="1" applyFill="1" applyBorder="1" applyAlignment="1">
      <alignment horizontal="center" vertical="center" wrapText="1"/>
    </xf>
    <xf numFmtId="9" fontId="1" fillId="7" borderId="12" xfId="0" applyNumberFormat="1" applyFont="1" applyFill="1" applyBorder="1" applyAlignment="1">
      <alignment horizontal="center" vertical="center" wrapText="1"/>
    </xf>
    <xf numFmtId="0" fontId="7" fillId="15" borderId="13" xfId="0" applyFont="1" applyFill="1" applyBorder="1" applyAlignment="1">
      <alignment horizontal="center" vertical="center" wrapText="1"/>
    </xf>
    <xf numFmtId="9" fontId="1" fillId="20" borderId="13" xfId="0" applyNumberFormat="1" applyFont="1" applyFill="1" applyBorder="1" applyAlignment="1">
      <alignment horizontal="center" vertical="center" wrapText="1"/>
    </xf>
    <xf numFmtId="9" fontId="1" fillId="20" borderId="14" xfId="0" applyNumberFormat="1" applyFont="1" applyFill="1" applyBorder="1" applyAlignment="1">
      <alignment horizontal="center" vertical="center" wrapText="1"/>
    </xf>
    <xf numFmtId="0" fontId="4" fillId="14" borderId="15" xfId="0" applyFont="1" applyFill="1" applyBorder="1" applyAlignment="1">
      <alignment horizontal="center" vertical="center"/>
    </xf>
    <xf numFmtId="0" fontId="8" fillId="0" borderId="16" xfId="0" applyFont="1" applyBorder="1" applyAlignment="1">
      <alignment horizontal="center" vertical="center"/>
    </xf>
    <xf numFmtId="0" fontId="8" fillId="0" borderId="10" xfId="0" applyFont="1" applyBorder="1"/>
    <xf numFmtId="0" fontId="7" fillId="15" borderId="3" xfId="0" applyFont="1" applyFill="1" applyBorder="1" applyAlignment="1">
      <alignment horizontal="center" vertical="center" wrapText="1"/>
    </xf>
    <xf numFmtId="0" fontId="7" fillId="15" borderId="6" xfId="0" applyFont="1" applyFill="1" applyBorder="1" applyAlignment="1">
      <alignment horizontal="center" vertical="center" wrapText="1"/>
    </xf>
    <xf numFmtId="0" fontId="7" fillId="15" borderId="7" xfId="0" applyFont="1" applyFill="1" applyBorder="1" applyAlignment="1">
      <alignment horizontal="center" vertical="center" wrapText="1"/>
    </xf>
    <xf numFmtId="0" fontId="7" fillId="14" borderId="3" xfId="0" applyFont="1" applyFill="1" applyBorder="1" applyAlignment="1">
      <alignment horizontal="center" vertical="center" wrapText="1"/>
    </xf>
    <xf numFmtId="0" fontId="7" fillId="14" borderId="6" xfId="0" applyFont="1" applyFill="1" applyBorder="1" applyAlignment="1">
      <alignment horizontal="center" vertical="center" wrapText="1"/>
    </xf>
    <xf numFmtId="0" fontId="7" fillId="14" borderId="7" xfId="0" applyFont="1" applyFill="1" applyBorder="1" applyAlignment="1">
      <alignment horizontal="center" vertical="center" wrapText="1"/>
    </xf>
    <xf numFmtId="0" fontId="2" fillId="0" borderId="1" xfId="0" applyFont="1" applyBorder="1" applyAlignment="1">
      <alignment vertical="center"/>
    </xf>
    <xf numFmtId="9" fontId="13" fillId="18" borderId="18" xfId="0" applyNumberFormat="1" applyFont="1" applyFill="1" applyBorder="1" applyAlignment="1">
      <alignment horizontal="center" vertical="center"/>
    </xf>
    <xf numFmtId="9" fontId="13" fillId="18" borderId="17" xfId="0" applyNumberFormat="1" applyFont="1" applyFill="1" applyBorder="1" applyAlignment="1">
      <alignment horizontal="center" vertical="center"/>
    </xf>
    <xf numFmtId="9" fontId="13" fillId="18" borderId="20" xfId="0" applyNumberFormat="1" applyFont="1" applyFill="1" applyBorder="1" applyAlignment="1">
      <alignment horizontal="center" vertical="center"/>
    </xf>
    <xf numFmtId="9" fontId="13" fillId="19" borderId="19" xfId="0" applyNumberFormat="1" applyFont="1" applyFill="1" applyBorder="1" applyAlignment="1">
      <alignment horizontal="center" vertical="center"/>
    </xf>
    <xf numFmtId="0" fontId="7" fillId="15" borderId="21" xfId="0" applyFont="1" applyFill="1" applyBorder="1" applyAlignment="1">
      <alignment horizontal="center" vertical="center" wrapText="1"/>
    </xf>
    <xf numFmtId="0" fontId="7" fillId="15" borderId="22" xfId="0" applyFont="1" applyFill="1" applyBorder="1" applyAlignment="1">
      <alignment horizontal="center" vertical="center" wrapText="1"/>
    </xf>
    <xf numFmtId="0" fontId="7" fillId="16" borderId="23" xfId="0" applyFont="1" applyFill="1" applyBorder="1" applyAlignment="1">
      <alignment horizontal="center" vertical="center" wrapText="1"/>
    </xf>
    <xf numFmtId="0" fontId="7" fillId="16" borderId="0" xfId="0" applyFont="1" applyFill="1" applyBorder="1" applyAlignment="1">
      <alignment horizontal="center" vertical="center" wrapText="1"/>
    </xf>
    <xf numFmtId="0" fontId="9" fillId="6" borderId="5" xfId="0" applyFont="1" applyFill="1" applyBorder="1" applyAlignment="1">
      <alignment horizontal="center" vertical="center" wrapText="1"/>
    </xf>
    <xf numFmtId="0" fontId="14" fillId="4" borderId="2" xfId="0" applyFont="1" applyFill="1" applyBorder="1" applyAlignment="1">
      <alignment horizontal="center" vertical="center" wrapText="1"/>
    </xf>
    <xf numFmtId="0" fontId="2" fillId="17" borderId="1" xfId="0" applyFont="1" applyFill="1" applyBorder="1" applyAlignment="1">
      <alignment vertical="top" wrapText="1"/>
    </xf>
    <xf numFmtId="0" fontId="2" fillId="17" borderId="3" xfId="0" applyFont="1" applyFill="1" applyBorder="1" applyAlignment="1">
      <alignment vertical="top" wrapText="1"/>
    </xf>
    <xf numFmtId="0" fontId="7" fillId="15" borderId="24" xfId="0" applyFont="1" applyFill="1" applyBorder="1" applyAlignment="1">
      <alignment horizontal="center" vertical="center" wrapText="1"/>
    </xf>
    <xf numFmtId="0" fontId="2" fillId="3" borderId="24" xfId="0" applyFont="1" applyFill="1" applyBorder="1" applyAlignment="1">
      <alignment horizontal="left" vertical="center" wrapText="1"/>
    </xf>
    <xf numFmtId="0" fontId="2" fillId="0" borderId="24" xfId="0" applyFont="1" applyBorder="1" applyAlignment="1">
      <alignment vertical="top" wrapText="1"/>
    </xf>
    <xf numFmtId="0" fontId="0" fillId="3" borderId="24" xfId="0" applyFill="1" applyBorder="1" applyAlignment="1">
      <alignment horizontal="left" vertical="top" wrapText="1"/>
    </xf>
    <xf numFmtId="0" fontId="0" fillId="3" borderId="25" xfId="0" applyFill="1" applyBorder="1" applyAlignment="1">
      <alignment horizontal="left" vertical="top" wrapText="1"/>
    </xf>
    <xf numFmtId="0" fontId="0" fillId="3" borderId="0" xfId="0" applyFill="1" applyBorder="1" applyAlignment="1">
      <alignment horizontal="left" vertical="top" wrapText="1"/>
    </xf>
    <xf numFmtId="0" fontId="4" fillId="21" borderId="24" xfId="0" applyFont="1" applyFill="1" applyBorder="1" applyAlignment="1">
      <alignment horizontal="center" vertical="center"/>
    </xf>
    <xf numFmtId="0" fontId="4" fillId="21" borderId="26" xfId="0" applyFont="1" applyFill="1" applyBorder="1" applyAlignment="1">
      <alignment horizontal="center" vertical="center"/>
    </xf>
    <xf numFmtId="0" fontId="4" fillId="21" borderId="27" xfId="0" applyFont="1" applyFill="1" applyBorder="1" applyAlignment="1">
      <alignment horizontal="center" vertical="center"/>
    </xf>
    <xf numFmtId="0" fontId="4" fillId="21" borderId="28" xfId="0" applyFont="1" applyFill="1" applyBorder="1" applyAlignment="1">
      <alignment horizontal="center" vertical="center"/>
    </xf>
    <xf numFmtId="0" fontId="4" fillId="21" borderId="25" xfId="0" applyFont="1" applyFill="1" applyBorder="1" applyAlignment="1">
      <alignment horizontal="center" vertical="center"/>
    </xf>
    <xf numFmtId="0" fontId="4" fillId="21" borderId="0" xfId="0" applyFont="1" applyFill="1" applyBorder="1" applyAlignment="1">
      <alignment horizontal="center" vertical="center"/>
    </xf>
    <xf numFmtId="0" fontId="0" fillId="3" borderId="26" xfId="0" applyFill="1" applyBorder="1" applyAlignment="1">
      <alignment horizontal="left" vertical="top" wrapText="1"/>
    </xf>
    <xf numFmtId="0" fontId="0" fillId="3" borderId="27" xfId="0" applyFill="1" applyBorder="1" applyAlignment="1">
      <alignment horizontal="left" vertical="top" wrapText="1"/>
    </xf>
    <xf numFmtId="0" fontId="0" fillId="3" borderId="28" xfId="0" applyFill="1" applyBorder="1" applyAlignment="1">
      <alignment horizontal="left" vertical="top" wrapText="1"/>
    </xf>
  </cellXfs>
  <cellStyles count="1">
    <cellStyle name="Normal" xfId="0" builtinId="0"/>
  </cellStyles>
  <dxfs count="35">
    <dxf>
      <font>
        <b/>
        <color rgb="FF9C0006"/>
        <name val="Calibri"/>
        <charset val="1"/>
      </font>
      <fill>
        <patternFill>
          <bgColor rgb="FFFFC7CE"/>
        </patternFill>
      </fill>
    </dxf>
    <dxf>
      <font>
        <b/>
        <color rgb="FF276221"/>
        <name val="Calibri"/>
        <charset val="1"/>
      </font>
      <fill>
        <patternFill>
          <bgColor rgb="FFC6EFCE"/>
        </patternFill>
      </fill>
    </dxf>
    <dxf>
      <fill>
        <patternFill patternType="solid">
          <fgColor rgb="FFFFEB9C"/>
          <bgColor rgb="FFFFEB9C"/>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ill>
        <patternFill patternType="solid">
          <fgColor rgb="FFFFEB9C"/>
          <bgColor rgb="FFFFEB9C"/>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ill>
        <patternFill patternType="solid">
          <fgColor rgb="FFFFEB9C"/>
          <bgColor rgb="FFFFEB9C"/>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ill>
        <patternFill patternType="solid">
          <fgColor rgb="FFFFEB9C"/>
          <bgColor rgb="FFFFEB9C"/>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ill>
        <patternFill patternType="solid">
          <fgColor rgb="FFFFEB9C"/>
          <bgColor rgb="FFFFEB9C"/>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ill>
        <patternFill patternType="solid">
          <fgColor rgb="FFFFEB9C"/>
          <bgColor rgb="FFFFEB9C"/>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ill>
        <patternFill patternType="solid">
          <fgColor rgb="FFFFEB9C"/>
          <bgColor rgb="FFFFEB9C"/>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ill>
        <patternFill patternType="solid">
          <fgColor rgb="FFFFEB9C"/>
          <bgColor rgb="FFFFEB9C"/>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ill>
        <patternFill patternType="solid">
          <fgColor rgb="FFFFEB9C"/>
          <bgColor rgb="FFFFEB9C"/>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ill>
        <patternFill patternType="solid">
          <fgColor rgb="FFFFEB9C"/>
          <bgColor rgb="FFFFEB9C"/>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ill>
        <patternFill patternType="solid">
          <fgColor rgb="FFFFEB9C"/>
          <bgColor rgb="FFFFEB9C"/>
        </patternFill>
      </fill>
    </dxf>
    <dxf>
      <font>
        <color rgb="FF9C0006"/>
      </font>
      <fill>
        <patternFill patternType="solid">
          <fgColor rgb="FFFFC7CE"/>
          <bgColor rgb="FFFFC7CE"/>
        </patternFill>
      </fill>
    </dxf>
    <dxf>
      <font>
        <color rgb="FF006100"/>
      </font>
      <fill>
        <patternFill patternType="solid">
          <fgColor rgb="FFC6EFCE"/>
          <bgColor rgb="FFC6EFCE"/>
        </patternFill>
      </fill>
    </dxf>
  </dxfs>
  <tableStyles count="0" defaultTableStyle="TableStyleMedium2" defaultPivotStyle="PivotStyleLight16"/>
  <colors>
    <mruColors>
      <color rgb="FFBFBFBF"/>
      <color rgb="FFFAFAFA"/>
      <color rgb="FFEAF2FB"/>
      <color rgb="FFE0FBFC"/>
      <color rgb="FFFFF3CC"/>
      <color rgb="FF98C1D9"/>
      <color rgb="FF98C1D8"/>
      <color rgb="FFEE6C4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mn-ea"/>
                <a:cs typeface="Calibri" panose="020F0502020204030204" pitchFamily="34" charset="0"/>
              </a:defRPr>
            </a:pPr>
            <a:r>
              <a:rPr lang="pt-PT"/>
              <a:t>PCMM level-completion percentages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pt-PT"/>
        </a:p>
      </c:txPr>
    </c:title>
    <c:autoTitleDeleted val="0"/>
    <c:plotArea>
      <c:layout/>
      <c:barChart>
        <c:barDir val="col"/>
        <c:grouping val="clustered"/>
        <c:varyColors val="0"/>
        <c:ser>
          <c:idx val="0"/>
          <c:order val="0"/>
          <c:spPr>
            <a:solidFill>
              <a:schemeClr val="tx2">
                <a:lumMod val="50000"/>
                <a:lumOff val="50000"/>
              </a:schemeClr>
            </a:solidFill>
            <a:ln>
              <a:solidFill>
                <a:schemeClr val="accent1"/>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pt-P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Dashboard!$B$55:$E$55</c:f>
              <c:strCache>
                <c:ptCount val="4"/>
                <c:pt idx="0">
                  <c:v>P2</c:v>
                </c:pt>
                <c:pt idx="1">
                  <c:v>P3</c:v>
                </c:pt>
                <c:pt idx="2">
                  <c:v>P4</c:v>
                </c:pt>
                <c:pt idx="3">
                  <c:v>P5</c:v>
                </c:pt>
              </c:strCache>
            </c:strRef>
          </c:cat>
          <c:val>
            <c:numRef>
              <c:f>Dashboard!$B$63:$E$63</c:f>
              <c:numCache>
                <c:formatCode>0%</c:formatCode>
                <c:ptCount val="4"/>
                <c:pt idx="0">
                  <c:v>0</c:v>
                </c:pt>
                <c:pt idx="1">
                  <c:v>0</c:v>
                </c:pt>
                <c:pt idx="2">
                  <c:v>0</c:v>
                </c:pt>
                <c:pt idx="3">
                  <c:v>0</c:v>
                </c:pt>
              </c:numCache>
            </c:numRef>
          </c:val>
          <c:extLst>
            <c:ext xmlns:c16="http://schemas.microsoft.com/office/drawing/2014/chart" uri="{C3380CC4-5D6E-409C-BE32-E72D297353CC}">
              <c16:uniqueId val="{00000000-850C-6A48-AFA3-09F60E43C842}"/>
            </c:ext>
          </c:extLst>
        </c:ser>
        <c:dLbls>
          <c:dLblPos val="outEnd"/>
          <c:showLegendKey val="0"/>
          <c:showVal val="1"/>
          <c:showCatName val="0"/>
          <c:showSerName val="0"/>
          <c:showPercent val="0"/>
          <c:showBubbleSize val="0"/>
        </c:dLbls>
        <c:gapWidth val="219"/>
        <c:overlap val="-27"/>
        <c:axId val="1940769680"/>
        <c:axId val="1940335984"/>
      </c:barChart>
      <c:catAx>
        <c:axId val="1940769680"/>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pt-PT"/>
          </a:p>
        </c:txPr>
        <c:crossAx val="1940335984"/>
        <c:crosses val="autoZero"/>
        <c:auto val="0"/>
        <c:lblAlgn val="ctr"/>
        <c:lblOffset val="1"/>
        <c:tickLblSkip val="1"/>
        <c:noMultiLvlLbl val="0"/>
      </c:catAx>
      <c:valAx>
        <c:axId val="1940335984"/>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pt-PT"/>
          </a:p>
        </c:txPr>
        <c:crossAx val="1940769680"/>
        <c:crosses val="autoZero"/>
        <c:crossBetween val="between"/>
        <c:majorUnit val="0.2"/>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Calibri" panose="020F0502020204030204" pitchFamily="34" charset="0"/>
          <a:cs typeface="Calibri" panose="020F0502020204030204" pitchFamily="34" charset="0"/>
        </a:defRPr>
      </a:pPr>
      <a:endParaRPr lang="pt-PT"/>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mn-ea"/>
                <a:cs typeface="Calibri" panose="020F0502020204030204" pitchFamily="34" charset="0"/>
              </a:defRPr>
            </a:pPr>
            <a:r>
              <a:rPr lang="pt-PT"/>
              <a:t>Raw proportion of questions answered positively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pt-PT"/>
        </a:p>
      </c:txPr>
    </c:title>
    <c:autoTitleDeleted val="0"/>
    <c:plotArea>
      <c:layout/>
      <c:barChart>
        <c:barDir val="col"/>
        <c:grouping val="clustered"/>
        <c:varyColors val="0"/>
        <c:ser>
          <c:idx val="0"/>
          <c:order val="0"/>
          <c:spPr>
            <a:solidFill>
              <a:schemeClr val="tx2">
                <a:lumMod val="50000"/>
                <a:lumOff val="50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pt-P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Dashboard!$A$56:$A$62</c:f>
              <c:strCache>
                <c:ptCount val="7"/>
                <c:pt idx="0">
                  <c:v>Workflow Progression Guarantees</c:v>
                </c:pt>
                <c:pt idx="1">
                  <c:v>Constraint Enforcement &amp; Protocol Safety</c:v>
                </c:pt>
                <c:pt idx="2">
                  <c:v>Concurrency &amp; Idempotency Control</c:v>
                </c:pt>
                <c:pt idx="3">
                  <c:v>Fault Handling &amp; Recovery</c:v>
                </c:pt>
                <c:pt idx="4">
                  <c:v>Runtime Governance</c:v>
                </c:pt>
                <c:pt idx="5">
                  <c:v>Events Documentation</c:v>
                </c:pt>
                <c:pt idx="6">
                  <c:v>Microservices Documentation</c:v>
                </c:pt>
              </c:strCache>
            </c:strRef>
          </c:cat>
          <c:val>
            <c:numRef>
              <c:f>Dashboard!$F$56:$F$62</c:f>
              <c:numCache>
                <c:formatCode>0%</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0-C685-A246-BE5F-BA748AC4C58A}"/>
            </c:ext>
          </c:extLst>
        </c:ser>
        <c:dLbls>
          <c:showLegendKey val="0"/>
          <c:showVal val="0"/>
          <c:showCatName val="0"/>
          <c:showSerName val="0"/>
          <c:showPercent val="0"/>
          <c:showBubbleSize val="0"/>
        </c:dLbls>
        <c:gapWidth val="219"/>
        <c:overlap val="-27"/>
        <c:axId val="1906617072"/>
        <c:axId val="101544095"/>
      </c:barChart>
      <c:catAx>
        <c:axId val="1906617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pt-PT"/>
          </a:p>
        </c:txPr>
        <c:crossAx val="101544095"/>
        <c:crosses val="autoZero"/>
        <c:auto val="1"/>
        <c:lblAlgn val="ctr"/>
        <c:lblOffset val="100"/>
        <c:noMultiLvlLbl val="0"/>
      </c:catAx>
      <c:valAx>
        <c:axId val="101544095"/>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pt-PT"/>
          </a:p>
        </c:txPr>
        <c:crossAx val="1906617072"/>
        <c:crosses val="autoZero"/>
        <c:crossBetween val="between"/>
        <c:majorUnit val="0.2"/>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Calibri" panose="020F0502020204030204" pitchFamily="34" charset="0"/>
          <a:cs typeface="Calibri" panose="020F0502020204030204" pitchFamily="34" charset="0"/>
        </a:defRPr>
      </a:pPr>
      <a:endParaRPr lang="pt-PT"/>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Maximum level achieved per practice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PT"/>
        </a:p>
      </c:txPr>
    </c:title>
    <c:autoTitleDeleted val="0"/>
    <c:plotArea>
      <c:layout>
        <c:manualLayout>
          <c:layoutTarget val="inner"/>
          <c:xMode val="edge"/>
          <c:yMode val="edge"/>
          <c:x val="0.2698554582529058"/>
          <c:y val="0.21818235954990464"/>
          <c:w val="0.4602890834941884"/>
          <c:h val="0.62849373948893983"/>
        </c:manualLayout>
      </c:layout>
      <c:radarChart>
        <c:radarStyle val="marker"/>
        <c:varyColors val="0"/>
        <c:ser>
          <c:idx val="0"/>
          <c:order val="0"/>
          <c:tx>
            <c:v>Maximum achievable level</c:v>
          </c:tx>
          <c:spPr>
            <a:ln w="15875" cap="sq">
              <a:solidFill>
                <a:schemeClr val="bg1">
                  <a:lumMod val="65000"/>
                </a:schemeClr>
              </a:solidFill>
              <a:prstDash val="dash"/>
              <a:round/>
            </a:ln>
            <a:effectLst/>
          </c:spPr>
          <c:marker>
            <c:symbol val="none"/>
          </c:marker>
          <c:cat>
            <c:strRef>
              <c:f>Dashboard!$A$68:$A$74</c:f>
              <c:strCache>
                <c:ptCount val="7"/>
                <c:pt idx="0">
                  <c:v>Workflow Progression Guarantees</c:v>
                </c:pt>
                <c:pt idx="1">
                  <c:v>Constraint Enforcement &amp; Protocol Safety</c:v>
                </c:pt>
                <c:pt idx="2">
                  <c:v>Concurrency &amp; Idempotency Control</c:v>
                </c:pt>
                <c:pt idx="3">
                  <c:v>Fault Handling &amp; Recovery</c:v>
                </c:pt>
                <c:pt idx="4">
                  <c:v>Runtime Governance</c:v>
                </c:pt>
                <c:pt idx="5">
                  <c:v>Events Documentation</c:v>
                </c:pt>
                <c:pt idx="6">
                  <c:v>Microservices Documentation</c:v>
                </c:pt>
              </c:strCache>
            </c:strRef>
          </c:cat>
          <c:val>
            <c:numRef>
              <c:f>Dashboard!$B$68:$B$74</c:f>
              <c:numCache>
                <c:formatCode>General</c:formatCode>
                <c:ptCount val="7"/>
                <c:pt idx="0">
                  <c:v>3</c:v>
                </c:pt>
                <c:pt idx="1">
                  <c:v>5</c:v>
                </c:pt>
                <c:pt idx="2">
                  <c:v>4</c:v>
                </c:pt>
                <c:pt idx="3">
                  <c:v>5</c:v>
                </c:pt>
                <c:pt idx="4">
                  <c:v>4</c:v>
                </c:pt>
                <c:pt idx="5">
                  <c:v>5</c:v>
                </c:pt>
                <c:pt idx="6">
                  <c:v>5</c:v>
                </c:pt>
              </c:numCache>
            </c:numRef>
          </c:val>
          <c:extLst>
            <c:ext xmlns:c16="http://schemas.microsoft.com/office/drawing/2014/chart" uri="{C3380CC4-5D6E-409C-BE32-E72D297353CC}">
              <c16:uniqueId val="{00000000-6935-B347-9AF2-93D759DF0170}"/>
            </c:ext>
          </c:extLst>
        </c:ser>
        <c:ser>
          <c:idx val="1"/>
          <c:order val="1"/>
          <c:tx>
            <c:v>Achieved level</c:v>
          </c:tx>
          <c:spPr>
            <a:ln w="28575" cap="rnd">
              <a:solidFill>
                <a:schemeClr val="tx2">
                  <a:lumMod val="50000"/>
                  <a:lumOff val="50000"/>
                </a:schemeClr>
              </a:solidFill>
              <a:round/>
            </a:ln>
            <a:effectLst/>
          </c:spPr>
          <c:marker>
            <c:symbol val="none"/>
          </c:marker>
          <c:cat>
            <c:strRef>
              <c:f>Dashboard!$A$68:$A$74</c:f>
              <c:strCache>
                <c:ptCount val="7"/>
                <c:pt idx="0">
                  <c:v>Workflow Progression Guarantees</c:v>
                </c:pt>
                <c:pt idx="1">
                  <c:v>Constraint Enforcement &amp; Protocol Safety</c:v>
                </c:pt>
                <c:pt idx="2">
                  <c:v>Concurrency &amp; Idempotency Control</c:v>
                </c:pt>
                <c:pt idx="3">
                  <c:v>Fault Handling &amp; Recovery</c:v>
                </c:pt>
                <c:pt idx="4">
                  <c:v>Runtime Governance</c:v>
                </c:pt>
                <c:pt idx="5">
                  <c:v>Events Documentation</c:v>
                </c:pt>
                <c:pt idx="6">
                  <c:v>Microservices Documentation</c:v>
                </c:pt>
              </c:strCache>
            </c:strRef>
          </c:cat>
          <c:val>
            <c:numRef>
              <c:f>Dashboard!$G$68:$G$74</c:f>
              <c:numCache>
                <c:formatCode>General</c:formatCode>
                <c:ptCount val="7"/>
                <c:pt idx="0">
                  <c:v>1</c:v>
                </c:pt>
                <c:pt idx="1">
                  <c:v>1</c:v>
                </c:pt>
                <c:pt idx="2">
                  <c:v>1</c:v>
                </c:pt>
                <c:pt idx="3">
                  <c:v>1</c:v>
                </c:pt>
                <c:pt idx="4">
                  <c:v>1</c:v>
                </c:pt>
                <c:pt idx="5">
                  <c:v>1</c:v>
                </c:pt>
                <c:pt idx="6">
                  <c:v>1</c:v>
                </c:pt>
              </c:numCache>
            </c:numRef>
          </c:val>
          <c:extLst>
            <c:ext xmlns:c16="http://schemas.microsoft.com/office/drawing/2014/chart" uri="{C3380CC4-5D6E-409C-BE32-E72D297353CC}">
              <c16:uniqueId val="{00000001-6935-B347-9AF2-93D759DF0170}"/>
            </c:ext>
          </c:extLst>
        </c:ser>
        <c:dLbls>
          <c:showLegendKey val="0"/>
          <c:showVal val="0"/>
          <c:showCatName val="0"/>
          <c:showSerName val="0"/>
          <c:showPercent val="0"/>
          <c:showBubbleSize val="0"/>
        </c:dLbls>
        <c:axId val="1923291888"/>
        <c:axId val="1939944432"/>
      </c:radarChart>
      <c:catAx>
        <c:axId val="1923291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1939944432"/>
        <c:crosses val="autoZero"/>
        <c:auto val="1"/>
        <c:lblAlgn val="ctr"/>
        <c:lblOffset val="100"/>
        <c:noMultiLvlLbl val="0"/>
      </c:catAx>
      <c:valAx>
        <c:axId val="1939944432"/>
        <c:scaling>
          <c:orientation val="minMax"/>
        </c:scaling>
        <c:delete val="0"/>
        <c:axPos val="l"/>
        <c:majorGridlines>
          <c:spPr>
            <a:ln w="9525" cap="flat" cmpd="sng" algn="ctr">
              <a:solidFill>
                <a:schemeClr val="tx1">
                  <a:lumMod val="15000"/>
                  <a:lumOff val="85000"/>
                </a:schemeClr>
              </a:solidFill>
              <a:prstDash val="sysDash"/>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1923291888"/>
        <c:crosses val="autoZero"/>
        <c:crossBetween val="between"/>
        <c:maj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551551</xdr:colOff>
      <xdr:row>2</xdr:row>
      <xdr:rowOff>133275</xdr:rowOff>
    </xdr:from>
    <xdr:to>
      <xdr:col>7</xdr:col>
      <xdr:colOff>309881</xdr:colOff>
      <xdr:row>16</xdr:row>
      <xdr:rowOff>119255</xdr:rowOff>
    </xdr:to>
    <xdr:graphicFrame macro="">
      <xdr:nvGraphicFramePr>
        <xdr:cNvPr id="2" name="Gráfico 1">
          <a:extLst>
            <a:ext uri="{FF2B5EF4-FFF2-40B4-BE49-F238E27FC236}">
              <a16:creationId xmlns:a16="http://schemas.microsoft.com/office/drawing/2014/main" id="{B915E846-0F5B-CA4C-9E7F-395939BA07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462861</xdr:colOff>
      <xdr:row>41</xdr:row>
      <xdr:rowOff>96503</xdr:rowOff>
    </xdr:from>
    <xdr:to>
      <xdr:col>10</xdr:col>
      <xdr:colOff>462862</xdr:colOff>
      <xdr:row>56</xdr:row>
      <xdr:rowOff>62511</xdr:rowOff>
    </xdr:to>
    <xdr:graphicFrame macro="">
      <xdr:nvGraphicFramePr>
        <xdr:cNvPr id="3" name="Gráfico 2">
          <a:extLst>
            <a:ext uri="{FF2B5EF4-FFF2-40B4-BE49-F238E27FC236}">
              <a16:creationId xmlns:a16="http://schemas.microsoft.com/office/drawing/2014/main" id="{D5A4BF71-0F3E-F541-8028-7D2EDC963C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732723</xdr:colOff>
      <xdr:row>19</xdr:row>
      <xdr:rowOff>150834</xdr:rowOff>
    </xdr:from>
    <xdr:to>
      <xdr:col>7</xdr:col>
      <xdr:colOff>116464</xdr:colOff>
      <xdr:row>38</xdr:row>
      <xdr:rowOff>61900</xdr:rowOff>
    </xdr:to>
    <xdr:graphicFrame macro="">
      <xdr:nvGraphicFramePr>
        <xdr:cNvPr id="4" name="Gráfico 3">
          <a:extLst>
            <a:ext uri="{FF2B5EF4-FFF2-40B4-BE49-F238E27FC236}">
              <a16:creationId xmlns:a16="http://schemas.microsoft.com/office/drawing/2014/main" id="{54CE1858-424F-3C46-B3C0-A6C044B13F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EA9E96-1C8E-7346-AE5B-5C1619A9BD72}">
  <dimension ref="A1:A10"/>
  <sheetViews>
    <sheetView workbookViewId="0">
      <selection activeCell="A3" sqref="A3"/>
    </sheetView>
  </sheetViews>
  <sheetFormatPr baseColWidth="10" defaultRowHeight="16" x14ac:dyDescent="0.2"/>
  <cols>
    <col min="1" max="1" width="127.33203125" customWidth="1"/>
  </cols>
  <sheetData>
    <row r="1" spans="1:1" ht="61" customHeight="1" x14ac:dyDescent="0.2">
      <c r="A1" s="92" t="s">
        <v>189</v>
      </c>
    </row>
    <row r="2" spans="1:1" ht="33" customHeight="1" x14ac:dyDescent="0.2">
      <c r="A2" s="68" t="s">
        <v>191</v>
      </c>
    </row>
    <row r="3" spans="1:1" ht="386" customHeight="1" x14ac:dyDescent="0.2">
      <c r="A3" s="93" t="s">
        <v>192</v>
      </c>
    </row>
    <row r="4" spans="1:1" ht="33" customHeight="1" x14ac:dyDescent="0.2">
      <c r="A4" s="68" t="s">
        <v>193</v>
      </c>
    </row>
    <row r="5" spans="1:1" ht="288" customHeight="1" x14ac:dyDescent="0.2">
      <c r="A5" s="94" t="s">
        <v>194</v>
      </c>
    </row>
    <row r="6" spans="1:1" ht="32" customHeight="1" x14ac:dyDescent="0.2">
      <c r="A6" s="95" t="s">
        <v>195</v>
      </c>
    </row>
    <row r="7" spans="1:1" ht="409" customHeight="1" x14ac:dyDescent="0.2">
      <c r="A7" s="96" t="s">
        <v>196</v>
      </c>
    </row>
    <row r="8" spans="1:1" ht="31" customHeight="1" x14ac:dyDescent="0.2">
      <c r="A8" s="96"/>
    </row>
    <row r="9" spans="1:1" ht="33" customHeight="1" x14ac:dyDescent="0.2">
      <c r="A9" s="95" t="s">
        <v>197</v>
      </c>
    </row>
    <row r="10" spans="1:1" ht="220" x14ac:dyDescent="0.2">
      <c r="A10" s="97" t="s">
        <v>198</v>
      </c>
    </row>
  </sheetData>
  <mergeCells count="1">
    <mergeCell ref="A7:A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47752C-FE84-7D46-839A-6C63624E921F}">
  <dimension ref="A1:C41"/>
  <sheetViews>
    <sheetView topLeftCell="A23" workbookViewId="0">
      <selection activeCell="C34" activeCellId="6" sqref="C4 C9 C14 C19 C24 C29 C34"/>
    </sheetView>
  </sheetViews>
  <sheetFormatPr baseColWidth="10" defaultRowHeight="16" x14ac:dyDescent="0.2"/>
  <cols>
    <col min="1" max="1" width="8.6640625" style="2" customWidth="1"/>
    <col min="2" max="2" width="88" style="4" customWidth="1"/>
    <col min="3" max="3" width="12.5" customWidth="1"/>
  </cols>
  <sheetData>
    <row r="1" spans="1:3" ht="33" customHeight="1" x14ac:dyDescent="0.2">
      <c r="A1" s="39" t="s">
        <v>7</v>
      </c>
      <c r="B1" s="43" t="s">
        <v>46</v>
      </c>
      <c r="C1" s="43"/>
    </row>
    <row r="2" spans="1:3" ht="52" customHeight="1" x14ac:dyDescent="0.2">
      <c r="A2" s="39"/>
      <c r="B2" s="40" t="s">
        <v>92</v>
      </c>
      <c r="C2" s="40"/>
    </row>
    <row r="3" spans="1:3" ht="70" customHeight="1" x14ac:dyDescent="0.2">
      <c r="A3" s="39"/>
      <c r="B3" s="40" t="s">
        <v>93</v>
      </c>
      <c r="C3" s="47"/>
    </row>
    <row r="4" spans="1:3" ht="33" customHeight="1" x14ac:dyDescent="0.2">
      <c r="A4" s="39"/>
      <c r="B4" s="14" t="s">
        <v>13</v>
      </c>
      <c r="C4" s="15"/>
    </row>
    <row r="6" spans="1:3" ht="33" customHeight="1" x14ac:dyDescent="0.2">
      <c r="A6" s="39" t="s">
        <v>8</v>
      </c>
      <c r="B6" s="46" t="s">
        <v>47</v>
      </c>
      <c r="C6" s="46"/>
    </row>
    <row r="7" spans="1:3" ht="52" customHeight="1" x14ac:dyDescent="0.2">
      <c r="A7" s="39"/>
      <c r="B7" s="40" t="s">
        <v>94</v>
      </c>
      <c r="C7" s="40"/>
    </row>
    <row r="8" spans="1:3" ht="52" customHeight="1" x14ac:dyDescent="0.2">
      <c r="A8" s="39"/>
      <c r="B8" s="40" t="s">
        <v>95</v>
      </c>
      <c r="C8" s="47"/>
    </row>
    <row r="9" spans="1:3" ht="33" customHeight="1" x14ac:dyDescent="0.2">
      <c r="A9" s="39"/>
      <c r="B9" s="14" t="s">
        <v>13</v>
      </c>
      <c r="C9" s="15"/>
    </row>
    <row r="10" spans="1:3" ht="19" x14ac:dyDescent="0.25">
      <c r="A10" s="1"/>
      <c r="B10" s="3"/>
    </row>
    <row r="11" spans="1:3" ht="32" customHeight="1" x14ac:dyDescent="0.2">
      <c r="A11" s="39" t="s">
        <v>9</v>
      </c>
      <c r="B11" s="43" t="s">
        <v>48</v>
      </c>
      <c r="C11" s="43"/>
    </row>
    <row r="12" spans="1:3" ht="52" customHeight="1" x14ac:dyDescent="0.2">
      <c r="A12" s="39"/>
      <c r="B12" s="40" t="s">
        <v>96</v>
      </c>
      <c r="C12" s="40"/>
    </row>
    <row r="13" spans="1:3" ht="32" customHeight="1" x14ac:dyDescent="0.2">
      <c r="A13" s="39"/>
      <c r="B13" s="40" t="s">
        <v>97</v>
      </c>
      <c r="C13" s="47"/>
    </row>
    <row r="14" spans="1:3" ht="33" customHeight="1" x14ac:dyDescent="0.2">
      <c r="A14" s="39"/>
      <c r="B14" s="14" t="s">
        <v>13</v>
      </c>
      <c r="C14" s="15"/>
    </row>
    <row r="15" spans="1:3" ht="19" x14ac:dyDescent="0.25">
      <c r="A15" s="1"/>
      <c r="B15" s="3"/>
    </row>
    <row r="16" spans="1:3" ht="33" customHeight="1" x14ac:dyDescent="0.2">
      <c r="A16" s="39" t="s">
        <v>10</v>
      </c>
      <c r="B16" s="43" t="s">
        <v>49</v>
      </c>
      <c r="C16" s="43"/>
    </row>
    <row r="17" spans="1:3" ht="52" customHeight="1" x14ac:dyDescent="0.2">
      <c r="A17" s="39"/>
      <c r="B17" s="40" t="s">
        <v>98</v>
      </c>
      <c r="C17" s="40"/>
    </row>
    <row r="18" spans="1:3" ht="70" customHeight="1" x14ac:dyDescent="0.2">
      <c r="A18" s="39"/>
      <c r="B18" s="40" t="s">
        <v>99</v>
      </c>
      <c r="C18" s="47"/>
    </row>
    <row r="19" spans="1:3" ht="33" customHeight="1" x14ac:dyDescent="0.2">
      <c r="A19" s="39"/>
      <c r="B19" s="14" t="s">
        <v>13</v>
      </c>
      <c r="C19" s="15"/>
    </row>
    <row r="20" spans="1:3" x14ac:dyDescent="0.2">
      <c r="A20" s="24"/>
    </row>
    <row r="21" spans="1:3" ht="52" customHeight="1" x14ac:dyDescent="0.2">
      <c r="A21" s="39" t="s">
        <v>11</v>
      </c>
      <c r="B21" s="43" t="s">
        <v>45</v>
      </c>
      <c r="C21" s="43"/>
    </row>
    <row r="22" spans="1:3" ht="70" customHeight="1" x14ac:dyDescent="0.2">
      <c r="A22" s="39"/>
      <c r="B22" s="40" t="s">
        <v>181</v>
      </c>
      <c r="C22" s="40"/>
    </row>
    <row r="23" spans="1:3" ht="102" customHeight="1" x14ac:dyDescent="0.2">
      <c r="A23" s="39"/>
      <c r="B23" s="40" t="s">
        <v>91</v>
      </c>
      <c r="C23" s="47"/>
    </row>
    <row r="24" spans="1:3" ht="33" customHeight="1" x14ac:dyDescent="0.2">
      <c r="A24" s="39"/>
      <c r="B24" s="14" t="s">
        <v>13</v>
      </c>
      <c r="C24" s="15"/>
    </row>
    <row r="25" spans="1:3" ht="19" x14ac:dyDescent="0.25">
      <c r="A25" s="1"/>
      <c r="B25" s="3"/>
    </row>
    <row r="26" spans="1:3" ht="47" customHeight="1" x14ac:dyDescent="0.2">
      <c r="A26" s="39" t="s">
        <v>12</v>
      </c>
      <c r="B26" s="43" t="s">
        <v>50</v>
      </c>
      <c r="C26" s="43"/>
    </row>
    <row r="27" spans="1:3" ht="70" customHeight="1" x14ac:dyDescent="0.2">
      <c r="A27" s="39"/>
      <c r="B27" s="40" t="s">
        <v>100</v>
      </c>
      <c r="C27" s="40"/>
    </row>
    <row r="28" spans="1:3" ht="86" customHeight="1" x14ac:dyDescent="0.2">
      <c r="A28" s="39"/>
      <c r="B28" s="40" t="s">
        <v>101</v>
      </c>
      <c r="C28" s="47"/>
    </row>
    <row r="29" spans="1:3" ht="32" customHeight="1" x14ac:dyDescent="0.2">
      <c r="A29" s="39"/>
      <c r="B29" s="14" t="s">
        <v>13</v>
      </c>
      <c r="C29" s="15"/>
    </row>
    <row r="30" spans="1:3" ht="19" x14ac:dyDescent="0.25">
      <c r="A30" s="1"/>
      <c r="B30" s="3"/>
    </row>
    <row r="31" spans="1:3" ht="52" customHeight="1" x14ac:dyDescent="0.2">
      <c r="A31" s="39" t="s">
        <v>15</v>
      </c>
      <c r="B31" s="43" t="s">
        <v>51</v>
      </c>
      <c r="C31" s="43"/>
    </row>
    <row r="32" spans="1:3" ht="32" customHeight="1" x14ac:dyDescent="0.2">
      <c r="A32" s="39"/>
      <c r="B32" s="40" t="s">
        <v>102</v>
      </c>
      <c r="C32" s="40"/>
    </row>
    <row r="33" spans="1:3" ht="52" customHeight="1" x14ac:dyDescent="0.2">
      <c r="A33" s="39"/>
      <c r="B33" s="40" t="s">
        <v>103</v>
      </c>
      <c r="C33" s="47"/>
    </row>
    <row r="34" spans="1:3" ht="33" customHeight="1" x14ac:dyDescent="0.2">
      <c r="A34" s="39"/>
      <c r="B34" s="14" t="s">
        <v>13</v>
      </c>
      <c r="C34" s="15"/>
    </row>
    <row r="36" spans="1:3" ht="19" x14ac:dyDescent="0.2">
      <c r="A36" s="7"/>
      <c r="B36" s="10"/>
      <c r="C36" s="10"/>
    </row>
    <row r="37" spans="1:3" ht="19" x14ac:dyDescent="0.2">
      <c r="A37" s="7"/>
      <c r="B37" s="6"/>
      <c r="C37" s="6"/>
    </row>
    <row r="38" spans="1:3" ht="19" x14ac:dyDescent="0.2">
      <c r="A38" s="7"/>
      <c r="B38" s="6"/>
      <c r="C38" s="6"/>
    </row>
    <row r="39" spans="1:3" ht="19" x14ac:dyDescent="0.2">
      <c r="A39" s="7"/>
      <c r="B39" s="9"/>
    </row>
    <row r="40" spans="1:3" x14ac:dyDescent="0.2">
      <c r="A40" s="8"/>
      <c r="B40"/>
    </row>
    <row r="41" spans="1:3" x14ac:dyDescent="0.2">
      <c r="A41" s="8"/>
    </row>
  </sheetData>
  <mergeCells count="28">
    <mergeCell ref="A11:A14"/>
    <mergeCell ref="B11:C11"/>
    <mergeCell ref="B12:C12"/>
    <mergeCell ref="B13:C13"/>
    <mergeCell ref="A1:A4"/>
    <mergeCell ref="B1:C1"/>
    <mergeCell ref="B2:C2"/>
    <mergeCell ref="B3:C3"/>
    <mergeCell ref="A6:A9"/>
    <mergeCell ref="B6:C6"/>
    <mergeCell ref="B7:C7"/>
    <mergeCell ref="B8:C8"/>
    <mergeCell ref="A31:A34"/>
    <mergeCell ref="B31:C31"/>
    <mergeCell ref="B32:C32"/>
    <mergeCell ref="B33:C33"/>
    <mergeCell ref="A16:A19"/>
    <mergeCell ref="B16:C16"/>
    <mergeCell ref="B17:C17"/>
    <mergeCell ref="B18:C18"/>
    <mergeCell ref="A26:A29"/>
    <mergeCell ref="B26:C26"/>
    <mergeCell ref="B27:C27"/>
    <mergeCell ref="B28:C28"/>
    <mergeCell ref="A21:A24"/>
    <mergeCell ref="B21:C21"/>
    <mergeCell ref="B22:C22"/>
    <mergeCell ref="B23:C23"/>
  </mergeCells>
  <conditionalFormatting sqref="C4">
    <cfRule type="cellIs" dxfId="34" priority="10" operator="equal">
      <formula>"Y"</formula>
    </cfRule>
    <cfRule type="cellIs" dxfId="33" priority="11" operator="equal">
      <formula>"N"</formula>
    </cfRule>
    <cfRule type="containsBlanks" dxfId="32" priority="12">
      <formula>LEN(TRIM(C4))=0</formula>
    </cfRule>
  </conditionalFormatting>
  <conditionalFormatting sqref="C9 C14">
    <cfRule type="cellIs" dxfId="31" priority="7" operator="equal">
      <formula>"Y"</formula>
    </cfRule>
    <cfRule type="cellIs" dxfId="30" priority="8" operator="equal">
      <formula>"N"</formula>
    </cfRule>
    <cfRule type="containsBlanks" dxfId="29" priority="9">
      <formula>LEN(TRIM(C9))=0</formula>
    </cfRule>
  </conditionalFormatting>
  <conditionalFormatting sqref="C19">
    <cfRule type="cellIs" dxfId="28" priority="4" operator="equal">
      <formula>"Y"</formula>
    </cfRule>
    <cfRule type="cellIs" dxfId="27" priority="5" operator="equal">
      <formula>"N"</formula>
    </cfRule>
    <cfRule type="containsBlanks" dxfId="26" priority="6">
      <formula>LEN(TRIM(C19))=0</formula>
    </cfRule>
  </conditionalFormatting>
  <conditionalFormatting sqref="C24 C29 C34">
    <cfRule type="cellIs" dxfId="25" priority="1" operator="equal">
      <formula>"Y"</formula>
    </cfRule>
    <cfRule type="cellIs" dxfId="24" priority="2" operator="equal">
      <formula>"N"</formula>
    </cfRule>
    <cfRule type="containsBlanks" dxfId="23" priority="3">
      <formula>LEN(TRIM(C24))=0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C5910-9C9E-D645-B5B6-D9C85C1CBBED}">
  <dimension ref="A1:C34"/>
  <sheetViews>
    <sheetView workbookViewId="0">
      <selection activeCell="C4" activeCellId="4" sqref="C24 C19 C14 C9 C4"/>
    </sheetView>
  </sheetViews>
  <sheetFormatPr baseColWidth="10" defaultRowHeight="16" x14ac:dyDescent="0.2"/>
  <cols>
    <col min="1" max="1" width="8.6640625" style="2" customWidth="1"/>
    <col min="2" max="2" width="88" style="4" customWidth="1"/>
    <col min="3" max="3" width="12.5" customWidth="1"/>
  </cols>
  <sheetData>
    <row r="1" spans="1:3" ht="47" customHeight="1" x14ac:dyDescent="0.2">
      <c r="A1" s="39" t="s">
        <v>34</v>
      </c>
      <c r="B1" s="43" t="s">
        <v>30</v>
      </c>
      <c r="C1" s="43"/>
    </row>
    <row r="2" spans="1:3" ht="33" customHeight="1" x14ac:dyDescent="0.2">
      <c r="A2" s="39"/>
      <c r="B2" s="40" t="s">
        <v>71</v>
      </c>
      <c r="C2" s="40"/>
    </row>
    <row r="3" spans="1:3" ht="70" customHeight="1" x14ac:dyDescent="0.2">
      <c r="A3" s="39"/>
      <c r="B3" s="40" t="s">
        <v>72</v>
      </c>
      <c r="C3" s="40"/>
    </row>
    <row r="4" spans="1:3" ht="33" customHeight="1" x14ac:dyDescent="0.2">
      <c r="A4" s="39"/>
      <c r="B4" s="5" t="s">
        <v>13</v>
      </c>
      <c r="C4" s="15"/>
    </row>
    <row r="6" spans="1:3" ht="33" customHeight="1" x14ac:dyDescent="0.2">
      <c r="A6" s="48" t="s">
        <v>35</v>
      </c>
      <c r="B6" s="46" t="s">
        <v>29</v>
      </c>
      <c r="C6" s="46"/>
    </row>
    <row r="7" spans="1:3" ht="52" customHeight="1" x14ac:dyDescent="0.2">
      <c r="A7" s="49"/>
      <c r="B7" s="40" t="s">
        <v>73</v>
      </c>
      <c r="C7" s="40"/>
    </row>
    <row r="8" spans="1:3" ht="52" customHeight="1" x14ac:dyDescent="0.2">
      <c r="A8" s="49"/>
      <c r="B8" s="40" t="s">
        <v>74</v>
      </c>
      <c r="C8" s="40"/>
    </row>
    <row r="9" spans="1:3" ht="33" customHeight="1" x14ac:dyDescent="0.2">
      <c r="A9" s="50"/>
      <c r="B9" s="5" t="s">
        <v>13</v>
      </c>
      <c r="C9" s="15"/>
    </row>
    <row r="10" spans="1:3" ht="19" x14ac:dyDescent="0.25">
      <c r="A10" s="1"/>
      <c r="B10" s="3"/>
    </row>
    <row r="11" spans="1:3" ht="33" customHeight="1" x14ac:dyDescent="0.2">
      <c r="A11" s="39" t="s">
        <v>36</v>
      </c>
      <c r="B11" s="46" t="s">
        <v>31</v>
      </c>
      <c r="C11" s="46"/>
    </row>
    <row r="12" spans="1:3" ht="52" customHeight="1" x14ac:dyDescent="0.2">
      <c r="A12" s="39"/>
      <c r="B12" s="40" t="s">
        <v>75</v>
      </c>
      <c r="C12" s="40"/>
    </row>
    <row r="13" spans="1:3" ht="52" customHeight="1" x14ac:dyDescent="0.2">
      <c r="A13" s="39"/>
      <c r="B13" s="40" t="s">
        <v>76</v>
      </c>
      <c r="C13" s="40"/>
    </row>
    <row r="14" spans="1:3" ht="33" customHeight="1" x14ac:dyDescent="0.2">
      <c r="A14" s="39"/>
      <c r="B14" s="5" t="s">
        <v>13</v>
      </c>
      <c r="C14" s="15"/>
    </row>
    <row r="15" spans="1:3" ht="19" x14ac:dyDescent="0.25">
      <c r="A15" s="1"/>
      <c r="B15" s="3"/>
    </row>
    <row r="16" spans="1:3" ht="52" customHeight="1" x14ac:dyDescent="0.2">
      <c r="A16" s="39" t="s">
        <v>37</v>
      </c>
      <c r="B16" s="43" t="s">
        <v>33</v>
      </c>
      <c r="C16" s="43"/>
    </row>
    <row r="17" spans="1:3" ht="52" customHeight="1" x14ac:dyDescent="0.2">
      <c r="A17" s="39"/>
      <c r="B17" s="40" t="s">
        <v>77</v>
      </c>
      <c r="C17" s="40"/>
    </row>
    <row r="18" spans="1:3" ht="70" customHeight="1" x14ac:dyDescent="0.2">
      <c r="A18" s="39"/>
      <c r="B18" s="40" t="s">
        <v>78</v>
      </c>
      <c r="C18" s="40"/>
    </row>
    <row r="19" spans="1:3" ht="33" customHeight="1" x14ac:dyDescent="0.2">
      <c r="A19" s="39"/>
      <c r="B19" s="5" t="s">
        <v>13</v>
      </c>
      <c r="C19" s="15"/>
    </row>
    <row r="20" spans="1:3" ht="19" x14ac:dyDescent="0.25">
      <c r="A20" s="1"/>
      <c r="B20" s="3"/>
    </row>
    <row r="21" spans="1:3" ht="52" customHeight="1" x14ac:dyDescent="0.2">
      <c r="A21" s="39" t="s">
        <v>38</v>
      </c>
      <c r="B21" s="43" t="s">
        <v>32</v>
      </c>
      <c r="C21" s="43"/>
    </row>
    <row r="22" spans="1:3" ht="70" customHeight="1" x14ac:dyDescent="0.2">
      <c r="A22" s="39"/>
      <c r="B22" s="40" t="s">
        <v>80</v>
      </c>
      <c r="C22" s="40"/>
    </row>
    <row r="23" spans="1:3" ht="70" customHeight="1" x14ac:dyDescent="0.2">
      <c r="A23" s="39"/>
      <c r="B23" s="40" t="s">
        <v>79</v>
      </c>
      <c r="C23" s="40"/>
    </row>
    <row r="24" spans="1:3" ht="33" customHeight="1" x14ac:dyDescent="0.2">
      <c r="A24" s="39"/>
      <c r="B24" s="5" t="s">
        <v>13</v>
      </c>
      <c r="C24" s="15"/>
    </row>
    <row r="26" spans="1:3" ht="19" x14ac:dyDescent="0.2">
      <c r="A26" s="7"/>
      <c r="B26" s="6"/>
      <c r="C26" s="6"/>
    </row>
    <row r="27" spans="1:3" ht="19" x14ac:dyDescent="0.2">
      <c r="A27" s="7"/>
      <c r="B27" s="9"/>
    </row>
    <row r="28" spans="1:3" ht="19" x14ac:dyDescent="0.25">
      <c r="A28" s="12"/>
      <c r="B28" s="13"/>
    </row>
    <row r="29" spans="1:3" ht="19" x14ac:dyDescent="0.2">
      <c r="A29" s="7"/>
      <c r="B29" s="10"/>
      <c r="C29" s="10"/>
    </row>
    <row r="30" spans="1:3" ht="19" x14ac:dyDescent="0.2">
      <c r="A30" s="7"/>
      <c r="B30" s="6"/>
      <c r="C30" s="6"/>
    </row>
    <row r="31" spans="1:3" ht="19" x14ac:dyDescent="0.2">
      <c r="A31" s="7"/>
      <c r="B31" s="6"/>
      <c r="C31" s="6"/>
    </row>
    <row r="32" spans="1:3" ht="19" x14ac:dyDescent="0.2">
      <c r="A32" s="7"/>
      <c r="B32" s="9"/>
    </row>
    <row r="33" spans="1:2" x14ac:dyDescent="0.2">
      <c r="A33" s="8"/>
      <c r="B33"/>
    </row>
    <row r="34" spans="1:2" x14ac:dyDescent="0.2">
      <c r="A34" s="8"/>
    </row>
  </sheetData>
  <mergeCells count="20">
    <mergeCell ref="A6:A9"/>
    <mergeCell ref="B6:C6"/>
    <mergeCell ref="B7:C7"/>
    <mergeCell ref="B8:C8"/>
    <mergeCell ref="A1:A4"/>
    <mergeCell ref="B1:C1"/>
    <mergeCell ref="B2:C2"/>
    <mergeCell ref="B3:C3"/>
    <mergeCell ref="A21:A24"/>
    <mergeCell ref="B21:C21"/>
    <mergeCell ref="B22:C22"/>
    <mergeCell ref="B23:C23"/>
    <mergeCell ref="A11:A14"/>
    <mergeCell ref="B11:C11"/>
    <mergeCell ref="B12:C12"/>
    <mergeCell ref="B13:C13"/>
    <mergeCell ref="A16:A19"/>
    <mergeCell ref="B16:C16"/>
    <mergeCell ref="B17:C17"/>
    <mergeCell ref="B18:C18"/>
  </mergeCells>
  <conditionalFormatting sqref="C4 C9 C14 C19 C24">
    <cfRule type="cellIs" dxfId="22" priority="1" operator="equal">
      <formula>"Y"</formula>
    </cfRule>
    <cfRule type="cellIs" dxfId="21" priority="2" operator="equal">
      <formula>"N"</formula>
    </cfRule>
    <cfRule type="containsBlanks" dxfId="20" priority="3">
      <formula>LEN(TRIM(C4))=0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A2F52-BE95-B44F-A50E-8589F94116FF}">
  <dimension ref="A1:C23"/>
  <sheetViews>
    <sheetView topLeftCell="A9" workbookViewId="0">
      <selection activeCell="C19" activeCellId="3" sqref="C4 C9 C14 C19"/>
    </sheetView>
  </sheetViews>
  <sheetFormatPr baseColWidth="10" defaultRowHeight="16" x14ac:dyDescent="0.2"/>
  <cols>
    <col min="1" max="1" width="8.6640625" style="2" customWidth="1"/>
    <col min="2" max="2" width="88" style="4" customWidth="1"/>
    <col min="3" max="3" width="12.5" customWidth="1"/>
  </cols>
  <sheetData>
    <row r="1" spans="1:3" ht="47" customHeight="1" x14ac:dyDescent="0.2">
      <c r="A1" s="39" t="s">
        <v>41</v>
      </c>
      <c r="B1" s="43" t="s">
        <v>39</v>
      </c>
      <c r="C1" s="43"/>
    </row>
    <row r="2" spans="1:3" ht="52" customHeight="1" x14ac:dyDescent="0.2">
      <c r="A2" s="39"/>
      <c r="B2" s="40" t="s">
        <v>81</v>
      </c>
      <c r="C2" s="40"/>
    </row>
    <row r="3" spans="1:3" ht="52" customHeight="1" x14ac:dyDescent="0.2">
      <c r="A3" s="39"/>
      <c r="B3" s="40" t="s">
        <v>82</v>
      </c>
      <c r="C3" s="40"/>
    </row>
    <row r="4" spans="1:3" ht="33" customHeight="1" x14ac:dyDescent="0.2">
      <c r="A4" s="39"/>
      <c r="B4" s="5" t="s">
        <v>13</v>
      </c>
      <c r="C4" s="15"/>
    </row>
    <row r="6" spans="1:3" ht="52" customHeight="1" x14ac:dyDescent="0.2">
      <c r="A6" s="39" t="s">
        <v>42</v>
      </c>
      <c r="B6" s="43" t="s">
        <v>83</v>
      </c>
      <c r="C6" s="43"/>
    </row>
    <row r="7" spans="1:3" ht="52" customHeight="1" x14ac:dyDescent="0.2">
      <c r="A7" s="39"/>
      <c r="B7" s="40" t="s">
        <v>84</v>
      </c>
      <c r="C7" s="40"/>
    </row>
    <row r="8" spans="1:3" ht="70" customHeight="1" x14ac:dyDescent="0.2">
      <c r="A8" s="39"/>
      <c r="B8" s="40" t="s">
        <v>85</v>
      </c>
      <c r="C8" s="40"/>
    </row>
    <row r="9" spans="1:3" ht="33" customHeight="1" x14ac:dyDescent="0.2">
      <c r="A9" s="39"/>
      <c r="B9" s="5" t="s">
        <v>13</v>
      </c>
      <c r="C9" s="15"/>
    </row>
    <row r="10" spans="1:3" ht="19" x14ac:dyDescent="0.25">
      <c r="A10" s="1"/>
      <c r="B10" s="3"/>
    </row>
    <row r="11" spans="1:3" ht="52" customHeight="1" x14ac:dyDescent="0.2">
      <c r="A11" s="39" t="s">
        <v>43</v>
      </c>
      <c r="B11" s="43" t="s">
        <v>40</v>
      </c>
      <c r="C11" s="43"/>
    </row>
    <row r="12" spans="1:3" ht="52" customHeight="1" x14ac:dyDescent="0.2">
      <c r="A12" s="39"/>
      <c r="B12" s="40" t="s">
        <v>89</v>
      </c>
      <c r="C12" s="40"/>
    </row>
    <row r="13" spans="1:3" ht="52" customHeight="1" x14ac:dyDescent="0.2">
      <c r="A13" s="39"/>
      <c r="B13" s="40" t="s">
        <v>90</v>
      </c>
      <c r="C13" s="40"/>
    </row>
    <row r="14" spans="1:3" ht="33" customHeight="1" x14ac:dyDescent="0.2">
      <c r="A14" s="39"/>
      <c r="B14" s="5" t="s">
        <v>13</v>
      </c>
      <c r="C14" s="15"/>
    </row>
    <row r="15" spans="1:3" ht="19" x14ac:dyDescent="0.25">
      <c r="A15" s="1"/>
      <c r="B15" s="3"/>
    </row>
    <row r="16" spans="1:3" ht="32" customHeight="1" x14ac:dyDescent="0.2">
      <c r="A16" s="39" t="s">
        <v>44</v>
      </c>
      <c r="B16" s="43" t="s">
        <v>86</v>
      </c>
      <c r="C16" s="43"/>
    </row>
    <row r="17" spans="1:3" ht="52" customHeight="1" x14ac:dyDescent="0.2">
      <c r="A17" s="39"/>
      <c r="B17" s="40" t="s">
        <v>87</v>
      </c>
      <c r="C17" s="40"/>
    </row>
    <row r="18" spans="1:3" ht="70" customHeight="1" x14ac:dyDescent="0.2">
      <c r="A18" s="39"/>
      <c r="B18" s="40" t="s">
        <v>88</v>
      </c>
      <c r="C18" s="40"/>
    </row>
    <row r="19" spans="1:3" ht="33" customHeight="1" x14ac:dyDescent="0.2">
      <c r="A19" s="39"/>
      <c r="B19" s="5" t="s">
        <v>13</v>
      </c>
      <c r="C19" s="15"/>
    </row>
    <row r="20" spans="1:3" ht="19" x14ac:dyDescent="0.2">
      <c r="A20" s="7"/>
      <c r="B20" s="6"/>
      <c r="C20" s="6"/>
    </row>
    <row r="21" spans="1:3" ht="19" x14ac:dyDescent="0.2">
      <c r="A21" s="7"/>
      <c r="B21" s="9"/>
    </row>
    <row r="22" spans="1:3" x14ac:dyDescent="0.2">
      <c r="A22" s="8"/>
      <c r="B22"/>
    </row>
    <row r="23" spans="1:3" x14ac:dyDescent="0.2">
      <c r="A23" s="8"/>
    </row>
  </sheetData>
  <mergeCells count="16">
    <mergeCell ref="A1:A4"/>
    <mergeCell ref="B1:C1"/>
    <mergeCell ref="B2:C2"/>
    <mergeCell ref="B3:C3"/>
    <mergeCell ref="A6:A9"/>
    <mergeCell ref="B6:C6"/>
    <mergeCell ref="B7:C7"/>
    <mergeCell ref="B8:C8"/>
    <mergeCell ref="A11:A14"/>
    <mergeCell ref="B11:C11"/>
    <mergeCell ref="B12:C12"/>
    <mergeCell ref="B13:C13"/>
    <mergeCell ref="A16:A19"/>
    <mergeCell ref="B16:C16"/>
    <mergeCell ref="B17:C17"/>
    <mergeCell ref="B18:C18"/>
  </mergeCells>
  <conditionalFormatting sqref="C4 C9 C14 C19">
    <cfRule type="cellIs" dxfId="19" priority="1" operator="equal">
      <formula>"Y"</formula>
    </cfRule>
    <cfRule type="cellIs" dxfId="18" priority="2" operator="equal">
      <formula>"N"</formula>
    </cfRule>
    <cfRule type="containsBlanks" dxfId="17" priority="3">
      <formula>LEN(TRIM(C4))=0</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46F5E-B451-C748-AB5B-8B45A64AEBE7}">
  <dimension ref="A1:C46"/>
  <sheetViews>
    <sheetView zoomScaleNormal="100" workbookViewId="0">
      <selection activeCell="F11" sqref="F11"/>
    </sheetView>
  </sheetViews>
  <sheetFormatPr baseColWidth="10" defaultRowHeight="16" x14ac:dyDescent="0.2"/>
  <cols>
    <col min="1" max="1" width="8.6640625" style="2" customWidth="1"/>
    <col min="2" max="2" width="88" style="4" customWidth="1"/>
    <col min="3" max="3" width="12.5" customWidth="1"/>
  </cols>
  <sheetData>
    <row r="1" spans="1:3" ht="33" customHeight="1" x14ac:dyDescent="0.2">
      <c r="A1" s="39" t="s">
        <v>135</v>
      </c>
      <c r="B1" s="46" t="s">
        <v>0</v>
      </c>
      <c r="C1" s="46"/>
    </row>
    <row r="2" spans="1:3" ht="52" customHeight="1" x14ac:dyDescent="0.2">
      <c r="A2" s="39"/>
      <c r="B2" s="40" t="s">
        <v>18</v>
      </c>
      <c r="C2" s="40"/>
    </row>
    <row r="3" spans="1:3" ht="70" customHeight="1" x14ac:dyDescent="0.2">
      <c r="A3" s="39"/>
      <c r="B3" s="40" t="s">
        <v>19</v>
      </c>
      <c r="C3" s="40"/>
    </row>
    <row r="4" spans="1:3" ht="33" customHeight="1" x14ac:dyDescent="0.2">
      <c r="A4" s="39"/>
      <c r="B4" s="5" t="s">
        <v>13</v>
      </c>
      <c r="C4" s="15"/>
    </row>
    <row r="5" spans="1:3" ht="19" x14ac:dyDescent="0.25">
      <c r="A5" s="1"/>
      <c r="B5" s="3"/>
    </row>
    <row r="6" spans="1:3" ht="47" customHeight="1" x14ac:dyDescent="0.2">
      <c r="A6" s="39" t="s">
        <v>136</v>
      </c>
      <c r="B6" s="43" t="s">
        <v>2</v>
      </c>
      <c r="C6" s="43"/>
    </row>
    <row r="7" spans="1:3" ht="52" customHeight="1" x14ac:dyDescent="0.2">
      <c r="A7" s="39"/>
      <c r="B7" s="40" t="s">
        <v>14</v>
      </c>
      <c r="C7" s="40"/>
    </row>
    <row r="8" spans="1:3" ht="52" customHeight="1" x14ac:dyDescent="0.2">
      <c r="A8" s="39"/>
      <c r="B8" s="40" t="s">
        <v>20</v>
      </c>
      <c r="C8" s="40"/>
    </row>
    <row r="9" spans="1:3" ht="33" customHeight="1" x14ac:dyDescent="0.2">
      <c r="A9" s="39"/>
      <c r="B9" s="5" t="s">
        <v>13</v>
      </c>
      <c r="C9" s="15"/>
    </row>
    <row r="11" spans="1:3" ht="33" customHeight="1" x14ac:dyDescent="0.2">
      <c r="A11" s="39" t="s">
        <v>137</v>
      </c>
      <c r="B11" s="46" t="s">
        <v>3</v>
      </c>
      <c r="C11" s="46"/>
    </row>
    <row r="12" spans="1:3" ht="86" customHeight="1" x14ac:dyDescent="0.2">
      <c r="A12" s="39"/>
      <c r="B12" s="40" t="s">
        <v>21</v>
      </c>
      <c r="C12" s="40"/>
    </row>
    <row r="13" spans="1:3" ht="52" customHeight="1" x14ac:dyDescent="0.2">
      <c r="A13" s="39"/>
      <c r="B13" s="40" t="s">
        <v>22</v>
      </c>
      <c r="C13" s="40"/>
    </row>
    <row r="14" spans="1:3" ht="33" customHeight="1" x14ac:dyDescent="0.2">
      <c r="A14" s="39"/>
      <c r="B14" s="5" t="s">
        <v>13</v>
      </c>
      <c r="C14" s="15"/>
    </row>
    <row r="15" spans="1:3" ht="19" x14ac:dyDescent="0.25">
      <c r="A15" s="1"/>
      <c r="B15" s="3"/>
    </row>
    <row r="16" spans="1:3" ht="32" customHeight="1" x14ac:dyDescent="0.2">
      <c r="A16" s="39" t="s">
        <v>138</v>
      </c>
      <c r="B16" s="43" t="s">
        <v>6</v>
      </c>
      <c r="C16" s="43"/>
    </row>
    <row r="17" spans="1:3" ht="52" customHeight="1" x14ac:dyDescent="0.2">
      <c r="A17" s="39"/>
      <c r="B17" s="40" t="s">
        <v>23</v>
      </c>
      <c r="C17" s="40"/>
    </row>
    <row r="18" spans="1:3" ht="52" customHeight="1" x14ac:dyDescent="0.2">
      <c r="A18" s="39"/>
      <c r="B18" s="40" t="s">
        <v>24</v>
      </c>
      <c r="C18" s="40"/>
    </row>
    <row r="19" spans="1:3" ht="33" customHeight="1" x14ac:dyDescent="0.2">
      <c r="A19" s="39"/>
      <c r="B19" s="5" t="s">
        <v>13</v>
      </c>
      <c r="C19" s="15"/>
    </row>
    <row r="20" spans="1:3" ht="19" x14ac:dyDescent="0.25">
      <c r="A20" s="1"/>
      <c r="B20" s="3"/>
    </row>
    <row r="21" spans="1:3" ht="33" customHeight="1" x14ac:dyDescent="0.2">
      <c r="A21" s="39" t="s">
        <v>139</v>
      </c>
      <c r="B21" s="43" t="s">
        <v>1</v>
      </c>
      <c r="C21" s="43"/>
    </row>
    <row r="22" spans="1:3" ht="86" customHeight="1" x14ac:dyDescent="0.2">
      <c r="A22" s="39"/>
      <c r="B22" s="40" t="s">
        <v>16</v>
      </c>
      <c r="C22" s="40"/>
    </row>
    <row r="23" spans="1:3" ht="70" customHeight="1" x14ac:dyDescent="0.2">
      <c r="A23" s="39"/>
      <c r="B23" s="40" t="s">
        <v>25</v>
      </c>
      <c r="C23" s="40"/>
    </row>
    <row r="24" spans="1:3" ht="33" customHeight="1" x14ac:dyDescent="0.2">
      <c r="A24" s="39"/>
      <c r="B24" s="5" t="s">
        <v>13</v>
      </c>
      <c r="C24" s="15"/>
    </row>
    <row r="26" spans="1:3" ht="47" customHeight="1" x14ac:dyDescent="0.2">
      <c r="A26" s="39" t="s">
        <v>140</v>
      </c>
      <c r="B26" s="43" t="s">
        <v>4</v>
      </c>
      <c r="C26" s="43"/>
    </row>
    <row r="27" spans="1:3" ht="86" customHeight="1" x14ac:dyDescent="0.2">
      <c r="A27" s="39"/>
      <c r="B27" s="40" t="s">
        <v>17</v>
      </c>
      <c r="C27" s="40"/>
    </row>
    <row r="28" spans="1:3" ht="70" customHeight="1" x14ac:dyDescent="0.2">
      <c r="A28" s="39"/>
      <c r="B28" s="40" t="s">
        <v>26</v>
      </c>
      <c r="C28" s="40"/>
    </row>
    <row r="29" spans="1:3" ht="32" customHeight="1" x14ac:dyDescent="0.2">
      <c r="A29" s="39"/>
      <c r="B29" s="5" t="s">
        <v>13</v>
      </c>
      <c r="C29" s="15"/>
    </row>
    <row r="30" spans="1:3" ht="19" x14ac:dyDescent="0.25">
      <c r="A30" s="1"/>
      <c r="B30" s="3"/>
    </row>
    <row r="31" spans="1:3" ht="33" customHeight="1" x14ac:dyDescent="0.2">
      <c r="A31" s="39" t="s">
        <v>141</v>
      </c>
      <c r="B31" s="44" t="s">
        <v>5</v>
      </c>
      <c r="C31" s="45"/>
    </row>
    <row r="32" spans="1:3" ht="86" customHeight="1" x14ac:dyDescent="0.2">
      <c r="A32" s="39"/>
      <c r="B32" s="41" t="s">
        <v>27</v>
      </c>
      <c r="C32" s="42"/>
    </row>
    <row r="33" spans="1:3" ht="52" customHeight="1" x14ac:dyDescent="0.2">
      <c r="A33" s="39"/>
      <c r="B33" s="41" t="s">
        <v>28</v>
      </c>
      <c r="C33" s="42"/>
    </row>
    <row r="34" spans="1:3" ht="33" customHeight="1" x14ac:dyDescent="0.2">
      <c r="A34" s="39"/>
      <c r="B34" s="5" t="s">
        <v>13</v>
      </c>
      <c r="C34" s="15"/>
    </row>
    <row r="36" spans="1:3" ht="19" x14ac:dyDescent="0.2">
      <c r="A36" s="7"/>
      <c r="B36" s="11"/>
      <c r="C36" s="11"/>
    </row>
    <row r="37" spans="1:3" ht="19" x14ac:dyDescent="0.2">
      <c r="A37" s="7"/>
      <c r="B37" s="6"/>
      <c r="C37" s="6"/>
    </row>
    <row r="38" spans="1:3" ht="19" x14ac:dyDescent="0.2">
      <c r="A38" s="7"/>
      <c r="B38" s="6"/>
      <c r="C38" s="6"/>
    </row>
    <row r="39" spans="1:3" ht="19" x14ac:dyDescent="0.2">
      <c r="A39" s="7"/>
      <c r="B39" s="9"/>
    </row>
    <row r="40" spans="1:3" ht="19" x14ac:dyDescent="0.25">
      <c r="A40" s="12"/>
      <c r="B40" s="13"/>
    </row>
    <row r="41" spans="1:3" ht="19" x14ac:dyDescent="0.2">
      <c r="A41" s="7"/>
      <c r="B41" s="10"/>
      <c r="C41" s="10"/>
    </row>
    <row r="42" spans="1:3" ht="19" x14ac:dyDescent="0.2">
      <c r="A42" s="7"/>
      <c r="B42" s="6"/>
      <c r="C42" s="6"/>
    </row>
    <row r="43" spans="1:3" ht="19" x14ac:dyDescent="0.2">
      <c r="A43" s="7"/>
      <c r="B43" s="6"/>
      <c r="C43" s="6"/>
    </row>
    <row r="44" spans="1:3" ht="19" x14ac:dyDescent="0.2">
      <c r="A44" s="7"/>
      <c r="B44" s="9"/>
    </row>
    <row r="45" spans="1:3" x14ac:dyDescent="0.2">
      <c r="A45" s="8"/>
      <c r="B45"/>
    </row>
    <row r="46" spans="1:3" x14ac:dyDescent="0.2">
      <c r="A46" s="8"/>
    </row>
  </sheetData>
  <mergeCells count="28">
    <mergeCell ref="B2:C2"/>
    <mergeCell ref="B1:C1"/>
    <mergeCell ref="B3:C3"/>
    <mergeCell ref="A1:A4"/>
    <mergeCell ref="A6:A9"/>
    <mergeCell ref="B6:C6"/>
    <mergeCell ref="B7:C7"/>
    <mergeCell ref="B8:C8"/>
    <mergeCell ref="A21:A24"/>
    <mergeCell ref="B23:C23"/>
    <mergeCell ref="B21:C21"/>
    <mergeCell ref="B22:C22"/>
    <mergeCell ref="A11:A14"/>
    <mergeCell ref="B11:C11"/>
    <mergeCell ref="B12:C12"/>
    <mergeCell ref="B13:C13"/>
    <mergeCell ref="B16:C16"/>
    <mergeCell ref="B17:C17"/>
    <mergeCell ref="A16:A19"/>
    <mergeCell ref="B18:C18"/>
    <mergeCell ref="A26:A29"/>
    <mergeCell ref="B27:C27"/>
    <mergeCell ref="B28:C28"/>
    <mergeCell ref="A31:A34"/>
    <mergeCell ref="B32:C32"/>
    <mergeCell ref="B33:C33"/>
    <mergeCell ref="B26:C26"/>
    <mergeCell ref="B31:C31"/>
  </mergeCells>
  <phoneticPr fontId="3" type="noConversion"/>
  <conditionalFormatting sqref="C4 C9 C14 C19 C24 C29 C34">
    <cfRule type="cellIs" dxfId="16" priority="1" operator="equal">
      <formula>"Y"</formula>
    </cfRule>
    <cfRule type="cellIs" dxfId="15" priority="2" operator="equal">
      <formula>"N"</formula>
    </cfRule>
    <cfRule type="containsBlanks" dxfId="14" priority="3">
      <formula>LEN(TRIM(C4))=0</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5FBAC-EFD5-CC4D-80FA-1CC201C0A53B}">
  <dimension ref="A1:C24"/>
  <sheetViews>
    <sheetView topLeftCell="A17" workbookViewId="0">
      <selection activeCell="C24" activeCellId="4" sqref="C4 C9 C14 C19 C24"/>
    </sheetView>
  </sheetViews>
  <sheetFormatPr baseColWidth="10" defaultRowHeight="16" x14ac:dyDescent="0.2"/>
  <cols>
    <col min="1" max="1" width="8.6640625" style="2" customWidth="1"/>
    <col min="2" max="2" width="88" style="4" customWidth="1"/>
    <col min="3" max="3" width="12.5" customWidth="1"/>
  </cols>
  <sheetData>
    <row r="1" spans="1:3" ht="33" customHeight="1" x14ac:dyDescent="0.2">
      <c r="A1" s="39" t="s">
        <v>142</v>
      </c>
      <c r="B1" s="46" t="s">
        <v>127</v>
      </c>
      <c r="C1" s="46"/>
    </row>
    <row r="2" spans="1:3" ht="70" customHeight="1" x14ac:dyDescent="0.2">
      <c r="A2" s="39"/>
      <c r="B2" s="40" t="s">
        <v>128</v>
      </c>
      <c r="C2" s="40"/>
    </row>
    <row r="3" spans="1:3" ht="86" customHeight="1" x14ac:dyDescent="0.2">
      <c r="A3" s="39"/>
      <c r="B3" s="40" t="s">
        <v>129</v>
      </c>
      <c r="C3" s="40"/>
    </row>
    <row r="4" spans="1:3" ht="33" customHeight="1" x14ac:dyDescent="0.2">
      <c r="A4" s="39"/>
      <c r="B4" s="5" t="s">
        <v>13</v>
      </c>
      <c r="C4" s="15"/>
    </row>
    <row r="5" spans="1:3" ht="19" x14ac:dyDescent="0.25">
      <c r="A5" s="1"/>
      <c r="B5" s="3"/>
    </row>
    <row r="6" spans="1:3" ht="47" customHeight="1" x14ac:dyDescent="0.2">
      <c r="A6" s="39" t="s">
        <v>143</v>
      </c>
      <c r="B6" s="43" t="s">
        <v>64</v>
      </c>
      <c r="C6" s="43"/>
    </row>
    <row r="7" spans="1:3" ht="70" customHeight="1" x14ac:dyDescent="0.2">
      <c r="A7" s="39"/>
      <c r="B7" s="40" t="s">
        <v>70</v>
      </c>
      <c r="C7" s="40"/>
    </row>
    <row r="8" spans="1:3" ht="70" customHeight="1" x14ac:dyDescent="0.2">
      <c r="A8" s="39"/>
      <c r="B8" s="40" t="s">
        <v>130</v>
      </c>
      <c r="C8" s="40"/>
    </row>
    <row r="9" spans="1:3" ht="33" customHeight="1" x14ac:dyDescent="0.2">
      <c r="A9" s="39"/>
      <c r="B9" s="5" t="s">
        <v>13</v>
      </c>
      <c r="C9" s="15"/>
    </row>
    <row r="11" spans="1:3" ht="33" customHeight="1" x14ac:dyDescent="0.2">
      <c r="A11" s="39" t="s">
        <v>144</v>
      </c>
      <c r="B11" s="46" t="s">
        <v>65</v>
      </c>
      <c r="C11" s="46"/>
    </row>
    <row r="12" spans="1:3" ht="86" customHeight="1" x14ac:dyDescent="0.2">
      <c r="A12" s="39"/>
      <c r="B12" s="40" t="s">
        <v>69</v>
      </c>
      <c r="C12" s="40"/>
    </row>
    <row r="13" spans="1:3" ht="86" customHeight="1" x14ac:dyDescent="0.2">
      <c r="A13" s="39"/>
      <c r="B13" s="40" t="s">
        <v>131</v>
      </c>
      <c r="C13" s="40"/>
    </row>
    <row r="14" spans="1:3" ht="33" customHeight="1" x14ac:dyDescent="0.2">
      <c r="A14" s="39"/>
      <c r="B14" s="5" t="s">
        <v>13</v>
      </c>
      <c r="C14" s="15"/>
    </row>
    <row r="15" spans="1:3" ht="19" x14ac:dyDescent="0.25">
      <c r="A15" s="1"/>
      <c r="B15" s="3"/>
    </row>
    <row r="16" spans="1:3" ht="32" customHeight="1" x14ac:dyDescent="0.2">
      <c r="A16" s="39" t="s">
        <v>145</v>
      </c>
      <c r="B16" s="43" t="s">
        <v>66</v>
      </c>
      <c r="C16" s="43"/>
    </row>
    <row r="17" spans="1:3" ht="70" customHeight="1" x14ac:dyDescent="0.2">
      <c r="A17" s="39"/>
      <c r="B17" s="40" t="s">
        <v>132</v>
      </c>
      <c r="C17" s="40"/>
    </row>
    <row r="18" spans="1:3" ht="70" customHeight="1" x14ac:dyDescent="0.2">
      <c r="A18" s="39"/>
      <c r="B18" s="40" t="s">
        <v>133</v>
      </c>
      <c r="C18" s="40"/>
    </row>
    <row r="19" spans="1:3" ht="33" customHeight="1" x14ac:dyDescent="0.2">
      <c r="A19" s="39"/>
      <c r="B19" s="5" t="s">
        <v>13</v>
      </c>
      <c r="C19" s="15"/>
    </row>
    <row r="20" spans="1:3" ht="19" x14ac:dyDescent="0.25">
      <c r="A20" s="1"/>
      <c r="B20" s="3"/>
    </row>
    <row r="21" spans="1:3" ht="52" customHeight="1" x14ac:dyDescent="0.2">
      <c r="A21" s="39" t="s">
        <v>146</v>
      </c>
      <c r="B21" s="43" t="s">
        <v>67</v>
      </c>
      <c r="C21" s="43"/>
    </row>
    <row r="22" spans="1:3" ht="70" customHeight="1" x14ac:dyDescent="0.2">
      <c r="A22" s="39"/>
      <c r="B22" s="40" t="s">
        <v>134</v>
      </c>
      <c r="C22" s="40"/>
    </row>
    <row r="23" spans="1:3" ht="86" customHeight="1" x14ac:dyDescent="0.2">
      <c r="A23" s="39"/>
      <c r="B23" s="40" t="s">
        <v>68</v>
      </c>
      <c r="C23" s="40"/>
    </row>
    <row r="24" spans="1:3" ht="33" customHeight="1" x14ac:dyDescent="0.2">
      <c r="A24" s="39"/>
      <c r="B24" s="5" t="s">
        <v>13</v>
      </c>
      <c r="C24" s="15"/>
    </row>
  </sheetData>
  <mergeCells count="20">
    <mergeCell ref="A1:A4"/>
    <mergeCell ref="B1:C1"/>
    <mergeCell ref="B2:C2"/>
    <mergeCell ref="B3:C3"/>
    <mergeCell ref="A6:A9"/>
    <mergeCell ref="B6:C6"/>
    <mergeCell ref="B7:C7"/>
    <mergeCell ref="B8:C8"/>
    <mergeCell ref="A21:A24"/>
    <mergeCell ref="B21:C21"/>
    <mergeCell ref="B22:C22"/>
    <mergeCell ref="B23:C23"/>
    <mergeCell ref="A11:A14"/>
    <mergeCell ref="B11:C11"/>
    <mergeCell ref="B12:C12"/>
    <mergeCell ref="B13:C13"/>
    <mergeCell ref="A16:A19"/>
    <mergeCell ref="B16:C16"/>
    <mergeCell ref="B17:C17"/>
    <mergeCell ref="B18:C18"/>
  </mergeCells>
  <conditionalFormatting sqref="C4 C9 C14 C19 C24">
    <cfRule type="cellIs" dxfId="13" priority="1" operator="equal">
      <formula>"Y"</formula>
    </cfRule>
    <cfRule type="cellIs" dxfId="12" priority="2" operator="equal">
      <formula>"N"</formula>
    </cfRule>
    <cfRule type="containsBlanks" dxfId="11" priority="3">
      <formula>LEN(TRIM(C4))=0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BEA52-7160-0942-BA96-10CCBB636A32}">
  <dimension ref="A1:C41"/>
  <sheetViews>
    <sheetView topLeftCell="A28" workbookViewId="0">
      <selection activeCell="F32" sqref="F32:F38"/>
    </sheetView>
  </sheetViews>
  <sheetFormatPr baseColWidth="10" defaultRowHeight="16" x14ac:dyDescent="0.2"/>
  <cols>
    <col min="1" max="1" width="8.6640625" style="2" customWidth="1"/>
    <col min="2" max="2" width="88" style="4" customWidth="1"/>
    <col min="3" max="3" width="12.5" customWidth="1"/>
  </cols>
  <sheetData>
    <row r="1" spans="1:3" ht="33" customHeight="1" x14ac:dyDescent="0.2">
      <c r="A1" s="39" t="s">
        <v>147</v>
      </c>
      <c r="B1" s="51" t="s">
        <v>52</v>
      </c>
      <c r="C1" s="51"/>
    </row>
    <row r="2" spans="1:3" ht="32" customHeight="1" x14ac:dyDescent="0.2">
      <c r="A2" s="39"/>
      <c r="B2" s="52" t="s">
        <v>104</v>
      </c>
      <c r="C2" s="52"/>
    </row>
    <row r="3" spans="1:3" ht="32" customHeight="1" x14ac:dyDescent="0.2">
      <c r="A3" s="39"/>
      <c r="B3" s="40" t="s">
        <v>105</v>
      </c>
      <c r="C3" s="40"/>
    </row>
    <row r="4" spans="1:3" ht="33" customHeight="1" x14ac:dyDescent="0.2">
      <c r="A4" s="39"/>
      <c r="B4" s="5" t="s">
        <v>13</v>
      </c>
      <c r="C4" s="15"/>
    </row>
    <row r="5" spans="1:3" ht="19" x14ac:dyDescent="0.25">
      <c r="A5" s="1"/>
      <c r="B5" s="3"/>
    </row>
    <row r="6" spans="1:3" ht="47" customHeight="1" x14ac:dyDescent="0.2">
      <c r="A6" s="39" t="s">
        <v>148</v>
      </c>
      <c r="B6" s="43" t="s">
        <v>53</v>
      </c>
      <c r="C6" s="43"/>
    </row>
    <row r="7" spans="1:3" ht="32" customHeight="1" x14ac:dyDescent="0.2">
      <c r="A7" s="39"/>
      <c r="B7" s="40" t="s">
        <v>106</v>
      </c>
      <c r="C7" s="40"/>
    </row>
    <row r="8" spans="1:3" ht="32" customHeight="1" x14ac:dyDescent="0.2">
      <c r="A8" s="39"/>
      <c r="B8" s="40" t="s">
        <v>107</v>
      </c>
      <c r="C8" s="40"/>
    </row>
    <row r="9" spans="1:3" ht="33" customHeight="1" x14ac:dyDescent="0.2">
      <c r="A9" s="39"/>
      <c r="B9" s="5" t="s">
        <v>13</v>
      </c>
      <c r="C9" s="15"/>
    </row>
    <row r="11" spans="1:3" ht="33" customHeight="1" x14ac:dyDescent="0.2">
      <c r="A11" s="39" t="s">
        <v>149</v>
      </c>
      <c r="B11" s="46" t="s">
        <v>158</v>
      </c>
      <c r="C11" s="46"/>
    </row>
    <row r="12" spans="1:3" ht="32" customHeight="1" x14ac:dyDescent="0.2">
      <c r="A12" s="39"/>
      <c r="B12" s="40" t="s">
        <v>108</v>
      </c>
      <c r="C12" s="40"/>
    </row>
    <row r="13" spans="1:3" ht="32" customHeight="1" x14ac:dyDescent="0.2">
      <c r="A13" s="39"/>
      <c r="B13" s="40" t="s">
        <v>109</v>
      </c>
      <c r="C13" s="40"/>
    </row>
    <row r="14" spans="1:3" ht="33" customHeight="1" x14ac:dyDescent="0.2">
      <c r="A14" s="39"/>
      <c r="B14" s="5" t="s">
        <v>13</v>
      </c>
      <c r="C14" s="15"/>
    </row>
    <row r="15" spans="1:3" ht="19" x14ac:dyDescent="0.25">
      <c r="A15" s="1"/>
      <c r="B15" s="3"/>
    </row>
    <row r="16" spans="1:3" ht="32" customHeight="1" x14ac:dyDescent="0.2">
      <c r="A16" s="39" t="s">
        <v>150</v>
      </c>
      <c r="B16" s="43" t="s">
        <v>54</v>
      </c>
      <c r="C16" s="43"/>
    </row>
    <row r="17" spans="1:3" ht="32" customHeight="1" x14ac:dyDescent="0.2">
      <c r="A17" s="39"/>
      <c r="B17" s="40" t="s">
        <v>110</v>
      </c>
      <c r="C17" s="40"/>
    </row>
    <row r="18" spans="1:3" ht="52" customHeight="1" x14ac:dyDescent="0.2">
      <c r="A18" s="39"/>
      <c r="B18" s="40" t="s">
        <v>111</v>
      </c>
      <c r="C18" s="40"/>
    </row>
    <row r="19" spans="1:3" ht="33" customHeight="1" x14ac:dyDescent="0.2">
      <c r="A19" s="39"/>
      <c r="B19" s="5" t="s">
        <v>13</v>
      </c>
      <c r="C19" s="15"/>
    </row>
    <row r="20" spans="1:3" ht="19" x14ac:dyDescent="0.25">
      <c r="A20" s="1"/>
      <c r="B20" s="3"/>
    </row>
    <row r="21" spans="1:3" ht="33" customHeight="1" x14ac:dyDescent="0.2">
      <c r="A21" s="39" t="s">
        <v>151</v>
      </c>
      <c r="B21" s="43" t="s">
        <v>55</v>
      </c>
      <c r="C21" s="43"/>
    </row>
    <row r="22" spans="1:3" ht="52" customHeight="1" x14ac:dyDescent="0.2">
      <c r="A22" s="39"/>
      <c r="B22" s="40" t="s">
        <v>113</v>
      </c>
      <c r="C22" s="40"/>
    </row>
    <row r="23" spans="1:3" ht="52" customHeight="1" x14ac:dyDescent="0.2">
      <c r="A23" s="39"/>
      <c r="B23" s="40" t="s">
        <v>112</v>
      </c>
      <c r="C23" s="40"/>
    </row>
    <row r="24" spans="1:3" ht="33" customHeight="1" x14ac:dyDescent="0.2">
      <c r="A24" s="39"/>
      <c r="B24" s="5" t="s">
        <v>13</v>
      </c>
      <c r="C24" s="15"/>
    </row>
    <row r="26" spans="1:3" ht="47" customHeight="1" x14ac:dyDescent="0.2">
      <c r="A26" s="39" t="s">
        <v>152</v>
      </c>
      <c r="B26" s="43" t="s">
        <v>57</v>
      </c>
      <c r="C26" s="43"/>
    </row>
    <row r="27" spans="1:3" ht="86" customHeight="1" x14ac:dyDescent="0.2">
      <c r="A27" s="39"/>
      <c r="B27" s="40" t="s">
        <v>59</v>
      </c>
      <c r="C27" s="40"/>
    </row>
    <row r="28" spans="1:3" ht="70" customHeight="1" x14ac:dyDescent="0.2">
      <c r="A28" s="39"/>
      <c r="B28" s="40" t="s">
        <v>116</v>
      </c>
      <c r="C28" s="40"/>
    </row>
    <row r="29" spans="1:3" ht="32" customHeight="1" x14ac:dyDescent="0.2">
      <c r="A29" s="39"/>
      <c r="B29" s="5" t="s">
        <v>13</v>
      </c>
      <c r="C29" s="15"/>
    </row>
    <row r="30" spans="1:3" ht="19" x14ac:dyDescent="0.25">
      <c r="A30" s="1"/>
      <c r="B30" s="3"/>
    </row>
    <row r="31" spans="1:3" ht="33" customHeight="1" x14ac:dyDescent="0.2">
      <c r="A31" s="39" t="s">
        <v>153</v>
      </c>
      <c r="B31" s="44" t="s">
        <v>58</v>
      </c>
      <c r="C31" s="45"/>
    </row>
    <row r="32" spans="1:3" ht="52" customHeight="1" x14ac:dyDescent="0.2">
      <c r="A32" s="39"/>
      <c r="B32" s="41" t="s">
        <v>117</v>
      </c>
      <c r="C32" s="42"/>
    </row>
    <row r="33" spans="1:3" ht="70" customHeight="1" x14ac:dyDescent="0.2">
      <c r="A33" s="39"/>
      <c r="B33" s="41" t="s">
        <v>118</v>
      </c>
      <c r="C33" s="42"/>
    </row>
    <row r="34" spans="1:3" ht="33" customHeight="1" x14ac:dyDescent="0.2">
      <c r="A34" s="39"/>
      <c r="B34" s="5" t="s">
        <v>13</v>
      </c>
      <c r="C34" s="15"/>
    </row>
    <row r="35" spans="1:3" x14ac:dyDescent="0.2">
      <c r="A35" s="8"/>
      <c r="B35"/>
    </row>
    <row r="36" spans="1:3" ht="33" customHeight="1" x14ac:dyDescent="0.2">
      <c r="A36" s="39" t="s">
        <v>159</v>
      </c>
      <c r="B36" s="44" t="s">
        <v>56</v>
      </c>
      <c r="C36" s="45"/>
    </row>
    <row r="37" spans="1:3" ht="52" customHeight="1" x14ac:dyDescent="0.2">
      <c r="A37" s="39"/>
      <c r="B37" s="41" t="s">
        <v>115</v>
      </c>
      <c r="C37" s="42"/>
    </row>
    <row r="38" spans="1:3" ht="70" customHeight="1" x14ac:dyDescent="0.2">
      <c r="A38" s="39"/>
      <c r="B38" s="41" t="s">
        <v>114</v>
      </c>
      <c r="C38" s="42"/>
    </row>
    <row r="39" spans="1:3" ht="33" customHeight="1" x14ac:dyDescent="0.2">
      <c r="A39" s="39"/>
      <c r="B39" s="5" t="s">
        <v>13</v>
      </c>
      <c r="C39" s="15"/>
    </row>
    <row r="41" spans="1:3" x14ac:dyDescent="0.2">
      <c r="A41" s="8"/>
    </row>
  </sheetData>
  <mergeCells count="32">
    <mergeCell ref="A1:A4"/>
    <mergeCell ref="B1:C1"/>
    <mergeCell ref="B2:C2"/>
    <mergeCell ref="B3:C3"/>
    <mergeCell ref="A6:A9"/>
    <mergeCell ref="B6:C6"/>
    <mergeCell ref="B7:C7"/>
    <mergeCell ref="B8:C8"/>
    <mergeCell ref="A11:A14"/>
    <mergeCell ref="B11:C11"/>
    <mergeCell ref="B12:C12"/>
    <mergeCell ref="B13:C13"/>
    <mergeCell ref="A16:A19"/>
    <mergeCell ref="B16:C16"/>
    <mergeCell ref="B17:C17"/>
    <mergeCell ref="B18:C18"/>
    <mergeCell ref="A31:A34"/>
    <mergeCell ref="A36:A39"/>
    <mergeCell ref="A21:A24"/>
    <mergeCell ref="B21:C21"/>
    <mergeCell ref="B22:C22"/>
    <mergeCell ref="B23:C23"/>
    <mergeCell ref="A26:A29"/>
    <mergeCell ref="B26:C26"/>
    <mergeCell ref="B27:C27"/>
    <mergeCell ref="B28:C28"/>
    <mergeCell ref="B31:C31"/>
    <mergeCell ref="B38:C38"/>
    <mergeCell ref="B37:C37"/>
    <mergeCell ref="B36:C36"/>
    <mergeCell ref="B33:C33"/>
    <mergeCell ref="B32:C32"/>
  </mergeCells>
  <conditionalFormatting sqref="C4 C9 C14 C19 C24 C29 C34">
    <cfRule type="cellIs" dxfId="10" priority="4" operator="equal">
      <formula>"Y"</formula>
    </cfRule>
    <cfRule type="cellIs" dxfId="9" priority="5" operator="equal">
      <formula>"N"</formula>
    </cfRule>
    <cfRule type="containsBlanks" dxfId="8" priority="6">
      <formula>LEN(TRIM(C4))=0</formula>
    </cfRule>
  </conditionalFormatting>
  <conditionalFormatting sqref="C39">
    <cfRule type="cellIs" dxfId="7" priority="1" operator="equal">
      <formula>"Y"</formula>
    </cfRule>
    <cfRule type="cellIs" dxfId="6" priority="2" operator="equal">
      <formula>"N"</formula>
    </cfRule>
    <cfRule type="containsBlanks" dxfId="5" priority="3">
      <formula>LEN(TRIM(C39))=0</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C5F99-6F85-E74A-9AE1-BC04A2BB3841}">
  <dimension ref="A1:C20"/>
  <sheetViews>
    <sheetView workbookViewId="0">
      <selection activeCell="F9" sqref="F9"/>
    </sheetView>
  </sheetViews>
  <sheetFormatPr baseColWidth="10" defaultRowHeight="16" x14ac:dyDescent="0.2"/>
  <cols>
    <col min="1" max="1" width="8.6640625" style="2" customWidth="1"/>
    <col min="2" max="2" width="88" style="4" customWidth="1"/>
    <col min="3" max="3" width="12.5" customWidth="1"/>
  </cols>
  <sheetData>
    <row r="1" spans="1:3" ht="47" customHeight="1" x14ac:dyDescent="0.2">
      <c r="A1" s="39" t="s">
        <v>154</v>
      </c>
      <c r="B1" s="43" t="s">
        <v>60</v>
      </c>
      <c r="C1" s="43"/>
    </row>
    <row r="2" spans="1:3" ht="52" customHeight="1" x14ac:dyDescent="0.2">
      <c r="A2" s="39"/>
      <c r="B2" s="40" t="s">
        <v>119</v>
      </c>
      <c r="C2" s="40"/>
    </row>
    <row r="3" spans="1:3" ht="52" customHeight="1" x14ac:dyDescent="0.2">
      <c r="A3" s="39"/>
      <c r="B3" s="40" t="s">
        <v>120</v>
      </c>
      <c r="C3" s="40"/>
    </row>
    <row r="4" spans="1:3" ht="33" customHeight="1" x14ac:dyDescent="0.2">
      <c r="A4" s="39"/>
      <c r="B4" s="5" t="s">
        <v>13</v>
      </c>
      <c r="C4" s="15"/>
    </row>
    <row r="6" spans="1:3" ht="33" customHeight="1" x14ac:dyDescent="0.2">
      <c r="A6" s="39" t="s">
        <v>155</v>
      </c>
      <c r="B6" s="46" t="s">
        <v>62</v>
      </c>
      <c r="C6" s="46"/>
    </row>
    <row r="7" spans="1:3" ht="70" customHeight="1" x14ac:dyDescent="0.2">
      <c r="A7" s="39"/>
      <c r="B7" s="40" t="s">
        <v>123</v>
      </c>
      <c r="C7" s="40"/>
    </row>
    <row r="8" spans="1:3" ht="70" customHeight="1" x14ac:dyDescent="0.2">
      <c r="A8" s="39"/>
      <c r="B8" s="40" t="s">
        <v>124</v>
      </c>
      <c r="C8" s="40"/>
    </row>
    <row r="9" spans="1:3" ht="33" customHeight="1" x14ac:dyDescent="0.2">
      <c r="A9" s="39"/>
      <c r="B9" s="5" t="s">
        <v>13</v>
      </c>
      <c r="C9" s="15"/>
    </row>
    <row r="10" spans="1:3" ht="19" x14ac:dyDescent="0.25">
      <c r="A10" s="1"/>
      <c r="B10" s="3"/>
    </row>
    <row r="11" spans="1:3" ht="33" customHeight="1" x14ac:dyDescent="0.2">
      <c r="A11" s="39" t="s">
        <v>156</v>
      </c>
      <c r="B11" s="46" t="s">
        <v>61</v>
      </c>
      <c r="C11" s="46"/>
    </row>
    <row r="12" spans="1:3" ht="52" customHeight="1" x14ac:dyDescent="0.2">
      <c r="A12" s="39"/>
      <c r="B12" s="40" t="s">
        <v>121</v>
      </c>
      <c r="C12" s="40"/>
    </row>
    <row r="13" spans="1:3" ht="70" customHeight="1" x14ac:dyDescent="0.2">
      <c r="A13" s="39"/>
      <c r="B13" s="40" t="s">
        <v>122</v>
      </c>
      <c r="C13" s="40"/>
    </row>
    <row r="14" spans="1:3" ht="33" customHeight="1" x14ac:dyDescent="0.2">
      <c r="A14" s="39"/>
      <c r="B14" s="5" t="s">
        <v>13</v>
      </c>
      <c r="C14" s="15"/>
    </row>
    <row r="15" spans="1:3" ht="19" x14ac:dyDescent="0.25">
      <c r="A15" s="1"/>
      <c r="B15" s="3"/>
    </row>
    <row r="16" spans="1:3" ht="32" customHeight="1" x14ac:dyDescent="0.2">
      <c r="A16" s="39" t="s">
        <v>157</v>
      </c>
      <c r="B16" s="43" t="s">
        <v>125</v>
      </c>
      <c r="C16" s="43"/>
    </row>
    <row r="17" spans="1:3" ht="86" customHeight="1" x14ac:dyDescent="0.2">
      <c r="A17" s="39"/>
      <c r="B17" s="40" t="s">
        <v>63</v>
      </c>
      <c r="C17" s="40"/>
    </row>
    <row r="18" spans="1:3" ht="86" customHeight="1" x14ac:dyDescent="0.2">
      <c r="A18" s="39"/>
      <c r="B18" s="40" t="s">
        <v>126</v>
      </c>
      <c r="C18" s="40"/>
    </row>
    <row r="19" spans="1:3" ht="33" customHeight="1" x14ac:dyDescent="0.2">
      <c r="A19" s="39"/>
      <c r="B19" s="5" t="s">
        <v>13</v>
      </c>
      <c r="C19" s="15"/>
    </row>
    <row r="20" spans="1:3" ht="19" x14ac:dyDescent="0.2">
      <c r="A20" s="7"/>
      <c r="B20" s="6"/>
      <c r="C20" s="6"/>
    </row>
  </sheetData>
  <mergeCells count="16">
    <mergeCell ref="A16:A19"/>
    <mergeCell ref="B16:C16"/>
    <mergeCell ref="B17:C17"/>
    <mergeCell ref="B18:C18"/>
    <mergeCell ref="A1:A4"/>
    <mergeCell ref="B1:C1"/>
    <mergeCell ref="B2:C2"/>
    <mergeCell ref="B3:C3"/>
    <mergeCell ref="A11:A14"/>
    <mergeCell ref="B11:C11"/>
    <mergeCell ref="B12:C12"/>
    <mergeCell ref="B13:C13"/>
    <mergeCell ref="A6:A9"/>
    <mergeCell ref="B6:C6"/>
    <mergeCell ref="B7:C7"/>
    <mergeCell ref="B8:C8"/>
  </mergeCells>
  <conditionalFormatting sqref="C4 C9 C14 C19">
    <cfRule type="cellIs" dxfId="4" priority="1" operator="equal">
      <formula>"Y"</formula>
    </cfRule>
    <cfRule type="cellIs" dxfId="3" priority="2" operator="equal">
      <formula>"N"</formula>
    </cfRule>
    <cfRule type="containsBlanks" dxfId="2" priority="3">
      <formula>LEN(TRIM(C4))=0</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87BC8-6E69-6940-ACEA-49C18D946317}">
  <dimension ref="A1:H74"/>
  <sheetViews>
    <sheetView topLeftCell="A54" workbookViewId="0">
      <selection activeCell="M61" sqref="M61"/>
    </sheetView>
  </sheetViews>
  <sheetFormatPr baseColWidth="10" defaultColWidth="8.6640625" defaultRowHeight="19" x14ac:dyDescent="0.25"/>
  <cols>
    <col min="1" max="1" width="44.33203125" style="13" customWidth="1"/>
    <col min="2" max="2" width="13" style="16" customWidth="1"/>
    <col min="3" max="3" width="10" style="16" customWidth="1"/>
    <col min="4" max="4" width="12.33203125" style="16" customWidth="1"/>
    <col min="5" max="5" width="17.1640625" style="16" customWidth="1"/>
    <col min="6" max="6" width="17.1640625" style="25" customWidth="1"/>
    <col min="7" max="7" width="8.5" style="16" customWidth="1"/>
    <col min="8" max="8" width="21.33203125" style="16" customWidth="1"/>
    <col min="9" max="16384" width="8.6640625" style="16"/>
  </cols>
  <sheetData>
    <row r="1" spans="1:6" ht="34.5" customHeight="1" x14ac:dyDescent="0.25">
      <c r="A1" s="59" t="s">
        <v>190</v>
      </c>
      <c r="B1" s="59"/>
      <c r="C1" s="59"/>
      <c r="D1" s="59"/>
      <c r="E1" s="59"/>
      <c r="F1" s="16"/>
    </row>
    <row r="2" spans="1:6" ht="21.75" customHeight="1" x14ac:dyDescent="0.25">
      <c r="A2" s="60" t="s">
        <v>160</v>
      </c>
      <c r="B2" s="60"/>
      <c r="C2" s="60"/>
      <c r="D2" s="60"/>
      <c r="E2" s="60"/>
      <c r="F2" s="16"/>
    </row>
    <row r="3" spans="1:6" ht="79" customHeight="1" x14ac:dyDescent="0.25">
      <c r="A3" s="61" t="s">
        <v>161</v>
      </c>
      <c r="B3" s="61"/>
      <c r="C3" s="61"/>
      <c r="D3" s="61"/>
      <c r="E3" s="61"/>
      <c r="F3" s="16"/>
    </row>
    <row r="4" spans="1:6" ht="7.5" customHeight="1" x14ac:dyDescent="0.25">
      <c r="E4" s="25"/>
      <c r="F4" s="16"/>
    </row>
    <row r="5" spans="1:6" ht="50" customHeight="1" x14ac:dyDescent="0.25">
      <c r="A5" s="36" t="s">
        <v>162</v>
      </c>
      <c r="B5" s="36" t="s">
        <v>163</v>
      </c>
      <c r="C5" s="36" t="s">
        <v>164</v>
      </c>
      <c r="D5" s="36" t="s">
        <v>165</v>
      </c>
      <c r="F5" s="16"/>
    </row>
    <row r="6" spans="1:6" ht="33" customHeight="1" x14ac:dyDescent="0.25">
      <c r="A6" s="79" t="s">
        <v>166</v>
      </c>
      <c r="B6" s="53">
        <v>2</v>
      </c>
      <c r="C6" s="27" t="s">
        <v>7</v>
      </c>
      <c r="D6" s="28">
        <f>'1. Workflow Progression Guarant'!C4</f>
        <v>0</v>
      </c>
      <c r="F6" s="16"/>
    </row>
    <row r="7" spans="1:6" ht="33" customHeight="1" x14ac:dyDescent="0.25">
      <c r="A7" s="80"/>
      <c r="B7" s="53"/>
      <c r="C7" s="27" t="s">
        <v>8</v>
      </c>
      <c r="D7" s="28">
        <f>'1. Workflow Progression Guarant'!C9</f>
        <v>0</v>
      </c>
      <c r="F7" s="16"/>
    </row>
    <row r="8" spans="1:6" ht="33" customHeight="1" x14ac:dyDescent="0.25">
      <c r="A8" s="80"/>
      <c r="B8" s="53"/>
      <c r="C8" s="27" t="s">
        <v>9</v>
      </c>
      <c r="D8" s="28">
        <f>'1. Workflow Progression Guarant'!C14</f>
        <v>0</v>
      </c>
      <c r="F8" s="16"/>
    </row>
    <row r="9" spans="1:6" ht="33" customHeight="1" x14ac:dyDescent="0.25">
      <c r="A9" s="80"/>
      <c r="B9" s="53"/>
      <c r="C9" s="27" t="s">
        <v>10</v>
      </c>
      <c r="D9" s="28">
        <f>'1. Workflow Progression Guarant'!C19</f>
        <v>0</v>
      </c>
      <c r="F9" s="16"/>
    </row>
    <row r="10" spans="1:6" ht="33" customHeight="1" x14ac:dyDescent="0.25">
      <c r="A10" s="80"/>
      <c r="B10" s="53"/>
      <c r="C10" s="27" t="s">
        <v>11</v>
      </c>
      <c r="D10" s="28">
        <f>'1. Workflow Progression Guarant'!C24</f>
        <v>0</v>
      </c>
      <c r="F10" s="16"/>
    </row>
    <row r="11" spans="1:6" ht="33" customHeight="1" x14ac:dyDescent="0.25">
      <c r="A11" s="80"/>
      <c r="B11" s="54">
        <v>3</v>
      </c>
      <c r="C11" s="30" t="s">
        <v>12</v>
      </c>
      <c r="D11" s="28">
        <f>'1. Workflow Progression Guarant'!C29</f>
        <v>0</v>
      </c>
      <c r="F11" s="16"/>
    </row>
    <row r="12" spans="1:6" ht="33" customHeight="1" x14ac:dyDescent="0.25">
      <c r="A12" s="81"/>
      <c r="B12" s="54"/>
      <c r="C12" s="30" t="s">
        <v>15</v>
      </c>
      <c r="D12" s="28">
        <f>'1. Workflow Progression Guarant'!C34</f>
        <v>0</v>
      </c>
      <c r="F12" s="16"/>
    </row>
    <row r="13" spans="1:6" ht="16" customHeight="1" x14ac:dyDescent="0.25">
      <c r="A13" s="82"/>
      <c r="B13" s="35"/>
      <c r="C13" s="35"/>
      <c r="D13" s="35"/>
      <c r="F13" s="16"/>
    </row>
    <row r="14" spans="1:6" ht="33" customHeight="1" x14ac:dyDescent="0.25">
      <c r="A14" s="76" t="s">
        <v>167</v>
      </c>
      <c r="B14" s="53">
        <v>2</v>
      </c>
      <c r="C14" s="27" t="s">
        <v>34</v>
      </c>
      <c r="D14" s="28">
        <f>'2. Constraint Enforcement'!C4</f>
        <v>0</v>
      </c>
      <c r="F14" s="16"/>
    </row>
    <row r="15" spans="1:6" ht="33" customHeight="1" x14ac:dyDescent="0.25">
      <c r="A15" s="77"/>
      <c r="B15" s="53"/>
      <c r="C15" s="27" t="s">
        <v>35</v>
      </c>
      <c r="D15" s="28">
        <f>'2. Constraint Enforcement'!C9</f>
        <v>0</v>
      </c>
      <c r="F15" s="16"/>
    </row>
    <row r="16" spans="1:6" ht="33" customHeight="1" x14ac:dyDescent="0.25">
      <c r="A16" s="77"/>
      <c r="B16" s="29">
        <v>3</v>
      </c>
      <c r="C16" s="30" t="s">
        <v>36</v>
      </c>
      <c r="D16" s="28">
        <f>'2. Constraint Enforcement'!C14</f>
        <v>0</v>
      </c>
      <c r="F16" s="16"/>
    </row>
    <row r="17" spans="1:6" ht="33" customHeight="1" x14ac:dyDescent="0.25">
      <c r="A17" s="77"/>
      <c r="B17" s="31">
        <v>4</v>
      </c>
      <c r="C17" s="32" t="s">
        <v>37</v>
      </c>
      <c r="D17" s="28">
        <f>'2. Constraint Enforcement'!C19</f>
        <v>0</v>
      </c>
      <c r="F17" s="16"/>
    </row>
    <row r="18" spans="1:6" ht="33" customHeight="1" x14ac:dyDescent="0.25">
      <c r="A18" s="78"/>
      <c r="B18" s="33">
        <v>5</v>
      </c>
      <c r="C18" s="34" t="s">
        <v>38</v>
      </c>
      <c r="D18" s="28">
        <f>'2. Constraint Enforcement'!C24</f>
        <v>0</v>
      </c>
      <c r="F18" s="16"/>
    </row>
    <row r="19" spans="1:6" ht="16" customHeight="1" x14ac:dyDescent="0.25">
      <c r="A19" s="82"/>
      <c r="B19" s="35"/>
      <c r="C19" s="35"/>
      <c r="D19" s="35"/>
      <c r="F19" s="16"/>
    </row>
    <row r="20" spans="1:6" ht="33" customHeight="1" x14ac:dyDescent="0.25">
      <c r="A20" s="76" t="s">
        <v>168</v>
      </c>
      <c r="B20" s="26">
        <v>2</v>
      </c>
      <c r="C20" s="27" t="s">
        <v>41</v>
      </c>
      <c r="D20" s="28">
        <f>'3. Concurrency &amp; Idempotency '!C4</f>
        <v>0</v>
      </c>
      <c r="F20" s="16"/>
    </row>
    <row r="21" spans="1:6" ht="33" customHeight="1" x14ac:dyDescent="0.25">
      <c r="A21" s="77"/>
      <c r="B21" s="54">
        <v>3</v>
      </c>
      <c r="C21" s="30" t="s">
        <v>42</v>
      </c>
      <c r="D21" s="28">
        <f>'3. Concurrency &amp; Idempotency '!C9</f>
        <v>0</v>
      </c>
      <c r="F21" s="16"/>
    </row>
    <row r="22" spans="1:6" ht="33" customHeight="1" x14ac:dyDescent="0.25">
      <c r="A22" s="77"/>
      <c r="B22" s="54"/>
      <c r="C22" s="30" t="s">
        <v>43</v>
      </c>
      <c r="D22" s="28">
        <f>'3. Concurrency &amp; Idempotency '!C14</f>
        <v>0</v>
      </c>
      <c r="F22" s="16"/>
    </row>
    <row r="23" spans="1:6" ht="33" customHeight="1" x14ac:dyDescent="0.25">
      <c r="A23" s="78"/>
      <c r="B23" s="31">
        <v>4</v>
      </c>
      <c r="C23" s="32" t="s">
        <v>44</v>
      </c>
      <c r="D23" s="28">
        <f>'3. Concurrency &amp; Idempotency '!C19</f>
        <v>0</v>
      </c>
      <c r="F23" s="16"/>
    </row>
    <row r="24" spans="1:6" ht="16" customHeight="1" x14ac:dyDescent="0.25">
      <c r="A24" s="82"/>
      <c r="B24" s="35"/>
      <c r="C24" s="35"/>
      <c r="D24" s="35"/>
      <c r="F24" s="16"/>
    </row>
    <row r="25" spans="1:6" ht="33" customHeight="1" x14ac:dyDescent="0.25">
      <c r="A25" s="76" t="s">
        <v>169</v>
      </c>
      <c r="B25" s="53">
        <v>2</v>
      </c>
      <c r="C25" s="27" t="s">
        <v>135</v>
      </c>
      <c r="D25" s="28">
        <f>'4. Fault Handling &amp; Recovery'!C4</f>
        <v>0</v>
      </c>
      <c r="F25" s="16"/>
    </row>
    <row r="26" spans="1:6" ht="33" customHeight="1" x14ac:dyDescent="0.25">
      <c r="A26" s="77"/>
      <c r="B26" s="53"/>
      <c r="C26" s="27" t="s">
        <v>136</v>
      </c>
      <c r="D26" s="28">
        <f>'4. Fault Handling &amp; Recovery'!C9</f>
        <v>0</v>
      </c>
      <c r="F26" s="16"/>
    </row>
    <row r="27" spans="1:6" ht="33" customHeight="1" x14ac:dyDescent="0.25">
      <c r="A27" s="77"/>
      <c r="B27" s="54">
        <v>3</v>
      </c>
      <c r="C27" s="30" t="s">
        <v>137</v>
      </c>
      <c r="D27" s="28">
        <f>'4. Fault Handling &amp; Recovery'!C14</f>
        <v>0</v>
      </c>
      <c r="F27" s="16"/>
    </row>
    <row r="28" spans="1:6" ht="33" customHeight="1" x14ac:dyDescent="0.25">
      <c r="A28" s="77"/>
      <c r="B28" s="54"/>
      <c r="C28" s="30" t="s">
        <v>138</v>
      </c>
      <c r="D28" s="28">
        <f>'4. Fault Handling &amp; Recovery'!C19</f>
        <v>0</v>
      </c>
      <c r="F28" s="16"/>
    </row>
    <row r="29" spans="1:6" ht="33" customHeight="1" x14ac:dyDescent="0.25">
      <c r="A29" s="77"/>
      <c r="B29" s="31">
        <v>4</v>
      </c>
      <c r="C29" s="32" t="s">
        <v>139</v>
      </c>
      <c r="D29" s="28">
        <f>'4. Fault Handling &amp; Recovery'!C24</f>
        <v>0</v>
      </c>
      <c r="F29" s="16"/>
    </row>
    <row r="30" spans="1:6" ht="33" customHeight="1" x14ac:dyDescent="0.25">
      <c r="A30" s="77"/>
      <c r="B30" s="55">
        <v>5</v>
      </c>
      <c r="C30" s="34" t="s">
        <v>140</v>
      </c>
      <c r="D30" s="28">
        <f>'4. Fault Handling &amp; Recovery'!C29</f>
        <v>0</v>
      </c>
      <c r="F30" s="16"/>
    </row>
    <row r="31" spans="1:6" ht="33" customHeight="1" x14ac:dyDescent="0.25">
      <c r="A31" s="78"/>
      <c r="B31" s="55"/>
      <c r="C31" s="34" t="s">
        <v>141</v>
      </c>
      <c r="D31" s="28">
        <f>'4. Fault Handling &amp; Recovery'!C34</f>
        <v>0</v>
      </c>
      <c r="F31" s="16"/>
    </row>
    <row r="32" spans="1:6" ht="16" customHeight="1" x14ac:dyDescent="0.25">
      <c r="A32" s="82"/>
      <c r="B32" s="35"/>
      <c r="C32" s="35"/>
      <c r="D32" s="35"/>
      <c r="F32" s="16"/>
    </row>
    <row r="33" spans="1:6" ht="33" customHeight="1" x14ac:dyDescent="0.25">
      <c r="A33" s="76" t="s">
        <v>170</v>
      </c>
      <c r="B33" s="26">
        <v>2</v>
      </c>
      <c r="C33" s="27" t="s">
        <v>142</v>
      </c>
      <c r="D33" s="28">
        <f>'5. Runtime Governance'!C4</f>
        <v>0</v>
      </c>
      <c r="F33" s="16"/>
    </row>
    <row r="34" spans="1:6" ht="33" customHeight="1" x14ac:dyDescent="0.25">
      <c r="A34" s="77"/>
      <c r="B34" s="29">
        <v>3</v>
      </c>
      <c r="C34" s="30" t="s">
        <v>143</v>
      </c>
      <c r="D34" s="28">
        <f>'5. Runtime Governance'!C9</f>
        <v>0</v>
      </c>
      <c r="F34" s="16"/>
    </row>
    <row r="35" spans="1:6" ht="33" customHeight="1" x14ac:dyDescent="0.25">
      <c r="A35" s="77"/>
      <c r="B35" s="62">
        <v>4</v>
      </c>
      <c r="C35" s="32" t="s">
        <v>144</v>
      </c>
      <c r="D35" s="28">
        <f>'5. Runtime Governance'!C14</f>
        <v>0</v>
      </c>
      <c r="F35" s="16"/>
    </row>
    <row r="36" spans="1:6" ht="33" customHeight="1" x14ac:dyDescent="0.25">
      <c r="A36" s="77"/>
      <c r="B36" s="62"/>
      <c r="C36" s="32" t="s">
        <v>145</v>
      </c>
      <c r="D36" s="28">
        <f>'5. Runtime Governance'!C19</f>
        <v>0</v>
      </c>
      <c r="F36" s="16"/>
    </row>
    <row r="37" spans="1:6" ht="33" customHeight="1" x14ac:dyDescent="0.25">
      <c r="A37" s="78"/>
      <c r="B37" s="62"/>
      <c r="C37" s="32" t="s">
        <v>146</v>
      </c>
      <c r="D37" s="28">
        <f>'5. Runtime Governance'!C24</f>
        <v>0</v>
      </c>
      <c r="F37" s="16"/>
    </row>
    <row r="38" spans="1:6" ht="16" customHeight="1" x14ac:dyDescent="0.25">
      <c r="A38" s="82"/>
      <c r="B38" s="35"/>
      <c r="C38" s="35"/>
      <c r="D38" s="35"/>
      <c r="F38" s="16"/>
    </row>
    <row r="39" spans="1:6" ht="33" customHeight="1" x14ac:dyDescent="0.25">
      <c r="A39" s="76" t="s">
        <v>171</v>
      </c>
      <c r="B39" s="26">
        <v>2</v>
      </c>
      <c r="C39" s="27" t="s">
        <v>147</v>
      </c>
      <c r="D39" s="28">
        <f>'6. Events Documentation'!C4</f>
        <v>0</v>
      </c>
      <c r="F39" s="16"/>
    </row>
    <row r="40" spans="1:6" ht="33" customHeight="1" x14ac:dyDescent="0.25">
      <c r="A40" s="77"/>
      <c r="B40" s="54">
        <v>3</v>
      </c>
      <c r="C40" s="30" t="s">
        <v>148</v>
      </c>
      <c r="D40" s="28">
        <f>'6. Events Documentation'!C9</f>
        <v>0</v>
      </c>
      <c r="F40" s="16"/>
    </row>
    <row r="41" spans="1:6" ht="33" customHeight="1" x14ac:dyDescent="0.25">
      <c r="A41" s="77"/>
      <c r="B41" s="54"/>
      <c r="C41" s="30" t="s">
        <v>149</v>
      </c>
      <c r="D41" s="28">
        <f>'6. Events Documentation'!C14</f>
        <v>0</v>
      </c>
      <c r="F41" s="16"/>
    </row>
    <row r="42" spans="1:6" ht="33" customHeight="1" x14ac:dyDescent="0.25">
      <c r="A42" s="77"/>
      <c r="B42" s="62">
        <v>4</v>
      </c>
      <c r="C42" s="32" t="s">
        <v>150</v>
      </c>
      <c r="D42" s="28">
        <f>'6. Events Documentation'!C19</f>
        <v>0</v>
      </c>
      <c r="F42" s="16"/>
    </row>
    <row r="43" spans="1:6" ht="33" customHeight="1" x14ac:dyDescent="0.25">
      <c r="A43" s="77"/>
      <c r="B43" s="62"/>
      <c r="C43" s="32" t="s">
        <v>151</v>
      </c>
      <c r="D43" s="28">
        <f>'6. Events Documentation'!C24</f>
        <v>0</v>
      </c>
      <c r="F43" s="16"/>
    </row>
    <row r="44" spans="1:6" ht="33" customHeight="1" x14ac:dyDescent="0.25">
      <c r="A44" s="77"/>
      <c r="B44" s="62"/>
      <c r="C44" s="32" t="s">
        <v>152</v>
      </c>
      <c r="D44" s="28">
        <f>'6. Events Documentation'!C29</f>
        <v>0</v>
      </c>
      <c r="F44" s="16"/>
    </row>
    <row r="45" spans="1:6" ht="33" customHeight="1" x14ac:dyDescent="0.25">
      <c r="A45" s="77"/>
      <c r="B45" s="55">
        <v>5</v>
      </c>
      <c r="C45" s="34" t="s">
        <v>153</v>
      </c>
      <c r="D45" s="28">
        <f>'6. Events Documentation'!C34</f>
        <v>0</v>
      </c>
      <c r="F45" s="16"/>
    </row>
    <row r="46" spans="1:6" ht="33" customHeight="1" x14ac:dyDescent="0.25">
      <c r="A46" s="78"/>
      <c r="B46" s="55"/>
      <c r="C46" s="34" t="s">
        <v>159</v>
      </c>
      <c r="D46" s="28">
        <f>'6. Events Documentation'!C39</f>
        <v>0</v>
      </c>
      <c r="F46" s="16"/>
    </row>
    <row r="47" spans="1:6" ht="16" customHeight="1" x14ac:dyDescent="0.25">
      <c r="A47" s="82"/>
      <c r="B47" s="35"/>
      <c r="C47" s="35"/>
      <c r="D47" s="35"/>
      <c r="F47" s="16"/>
    </row>
    <row r="48" spans="1:6" ht="33" customHeight="1" x14ac:dyDescent="0.25">
      <c r="A48" s="76" t="s">
        <v>172</v>
      </c>
      <c r="B48" s="26">
        <v>2</v>
      </c>
      <c r="C48" s="27" t="s">
        <v>154</v>
      </c>
      <c r="D48" s="28">
        <f>'7. Microservices Documentation'!C4</f>
        <v>0</v>
      </c>
      <c r="F48" s="16"/>
    </row>
    <row r="49" spans="1:7" ht="33" customHeight="1" x14ac:dyDescent="0.25">
      <c r="A49" s="77"/>
      <c r="B49" s="29">
        <v>3</v>
      </c>
      <c r="C49" s="30" t="s">
        <v>155</v>
      </c>
      <c r="D49" s="28">
        <f>'7. Microservices Documentation'!C9</f>
        <v>0</v>
      </c>
      <c r="F49" s="16"/>
    </row>
    <row r="50" spans="1:7" ht="33" customHeight="1" x14ac:dyDescent="0.25">
      <c r="A50" s="77"/>
      <c r="B50" s="31">
        <v>4</v>
      </c>
      <c r="C50" s="32" t="s">
        <v>156</v>
      </c>
      <c r="D50" s="28">
        <f>'7. Microservices Documentation'!C14</f>
        <v>0</v>
      </c>
      <c r="F50" s="16"/>
    </row>
    <row r="51" spans="1:7" ht="33" customHeight="1" x14ac:dyDescent="0.25">
      <c r="A51" s="78"/>
      <c r="B51" s="33">
        <v>5</v>
      </c>
      <c r="C51" s="34" t="s">
        <v>157</v>
      </c>
      <c r="D51" s="28">
        <f>'7. Microservices Documentation'!C19</f>
        <v>0</v>
      </c>
      <c r="F51" s="16"/>
    </row>
    <row r="52" spans="1:7" ht="16" customHeight="1" x14ac:dyDescent="0.25">
      <c r="F52" s="16"/>
    </row>
    <row r="54" spans="1:7" ht="40" customHeight="1" x14ac:dyDescent="0.25">
      <c r="A54" s="56" t="s">
        <v>182</v>
      </c>
      <c r="B54" s="57"/>
      <c r="C54" s="57"/>
      <c r="D54" s="57"/>
      <c r="E54" s="57"/>
      <c r="F54" s="58"/>
    </row>
    <row r="55" spans="1:7" ht="33" customHeight="1" x14ac:dyDescent="0.25">
      <c r="A55" s="37" t="s">
        <v>162</v>
      </c>
      <c r="B55" s="37" t="s">
        <v>183</v>
      </c>
      <c r="C55" s="37" t="s">
        <v>184</v>
      </c>
      <c r="D55" s="37" t="s">
        <v>185</v>
      </c>
      <c r="E55" s="65" t="s">
        <v>186</v>
      </c>
      <c r="F55" s="70" t="s">
        <v>179</v>
      </c>
    </row>
    <row r="56" spans="1:7" ht="21.75" customHeight="1" x14ac:dyDescent="0.25">
      <c r="A56" s="18" t="s">
        <v>166</v>
      </c>
      <c r="B56" s="22">
        <f>(COUNTIF(D6,"Y")+COUNTIF(D7,"Y")+COUNTIF(D8,"Y")+COUNTIF(D9,"Y")+COUNTIF(D10,"Y"))/5</f>
        <v>0</v>
      </c>
      <c r="C56" s="22">
        <f>(COUNTIF(D11,"Y")+COUNTIF(D12,"Y"))/2</f>
        <v>0</v>
      </c>
      <c r="D56" s="23" t="s">
        <v>180</v>
      </c>
      <c r="E56" s="66" t="s">
        <v>180</v>
      </c>
      <c r="F56" s="71">
        <f>(COUNTIF(D6,"Y")+COUNTIF(D7,"Y")+COUNTIF(D8,"Y")+COUNTIF(D9,"Y")+COUNTIF(D10,"Y")+COUNTIF(D11,"Y")+COUNTIF(D12,"Y"))/7</f>
        <v>0</v>
      </c>
    </row>
    <row r="57" spans="1:7" ht="21.75" customHeight="1" x14ac:dyDescent="0.25">
      <c r="A57" s="18" t="s">
        <v>167</v>
      </c>
      <c r="B57" s="22">
        <f>(COUNTIF(D14,"Y")+COUNTIF(D15,"Y"))/2</f>
        <v>0</v>
      </c>
      <c r="C57" s="22">
        <f>(COUNTIF(D16,"Y"))/1</f>
        <v>0</v>
      </c>
      <c r="D57" s="22">
        <f>(COUNTIF(D17,"Y"))/1</f>
        <v>0</v>
      </c>
      <c r="E57" s="67">
        <f>(COUNTIF(D18,"Y"))/1</f>
        <v>0</v>
      </c>
      <c r="F57" s="71">
        <f>(COUNTIF(D14,"Y")+COUNTIF(D15,"Y")+COUNTIF(D16,"Y")+COUNTIF(D17,"Y")+COUNTIF(D18,"Y"))/5</f>
        <v>0</v>
      </c>
    </row>
    <row r="58" spans="1:7" ht="21.75" customHeight="1" x14ac:dyDescent="0.25">
      <c r="A58" s="18" t="s">
        <v>168</v>
      </c>
      <c r="B58" s="22">
        <f>(COUNTIF(D20,"Y"))/1</f>
        <v>0</v>
      </c>
      <c r="C58" s="22">
        <f>(COUNTIF(D21,"Y")+COUNTIF(D22,"Y"))/2</f>
        <v>0</v>
      </c>
      <c r="D58" s="22">
        <f>(COUNTIF(D23,"Y"))/1</f>
        <v>0</v>
      </c>
      <c r="E58" s="66" t="s">
        <v>180</v>
      </c>
      <c r="F58" s="71">
        <f>(COUNTIF(D20,"Y")+COUNTIF(D21,"Y")+COUNTIF(D22,"Y")+COUNTIF(D23,"Y"))/4</f>
        <v>0</v>
      </c>
    </row>
    <row r="59" spans="1:7" ht="21.75" customHeight="1" x14ac:dyDescent="0.25">
      <c r="A59" s="18" t="s">
        <v>169</v>
      </c>
      <c r="B59" s="22">
        <f>(COUNTIF(D25,"Y")+COUNTIF(D26,"Y"))/2</f>
        <v>0</v>
      </c>
      <c r="C59" s="22">
        <f>(COUNTIF(D27,"Y")+COUNTIF(D28,"Y"))/2</f>
        <v>0</v>
      </c>
      <c r="D59" s="22">
        <f>(COUNTIF(D29,"Y"))/1</f>
        <v>0</v>
      </c>
      <c r="E59" s="67">
        <f>(COUNTIF(D30,"Y")+COUNTIF(D31,"Y"))/2</f>
        <v>0</v>
      </c>
      <c r="F59" s="71">
        <f>(COUNTIF(D25,"Y")+COUNTIF(D26,"Y")+COUNTIF(D27,"Y")+COUNTIF(D28,"Y")+COUNTIF(D29,"Y")+COUNTIF(D30,"Y")+COUNTIF(D31,"Y"))/7</f>
        <v>0</v>
      </c>
    </row>
    <row r="60" spans="1:7" ht="21.75" customHeight="1" x14ac:dyDescent="0.25">
      <c r="A60" s="18" t="s">
        <v>170</v>
      </c>
      <c r="B60" s="22">
        <f>(COUNTIF(D33,"Y"))/1</f>
        <v>0</v>
      </c>
      <c r="C60" s="22">
        <f>(COUNTIF(D34,"Y"))/1</f>
        <v>0</v>
      </c>
      <c r="D60" s="22">
        <f>(COUNTIF(D35,"Y")+COUNTIF(D36,"Y")+COUNTIF(D37,"Y"))/3</f>
        <v>0</v>
      </c>
      <c r="E60" s="66" t="s">
        <v>180</v>
      </c>
      <c r="F60" s="71">
        <f>(COUNTIF(D33,"Y")+COUNTIF(D34,"Y")+COUNTIF(D35,"Y")+COUNTIF(D36,"Y")+COUNTIF(D37,"Y"))/5</f>
        <v>0</v>
      </c>
    </row>
    <row r="61" spans="1:7" ht="21.75" customHeight="1" x14ac:dyDescent="0.25">
      <c r="A61" s="18" t="s">
        <v>171</v>
      </c>
      <c r="B61" s="22">
        <f>(COUNTIF(D39,"Y"))/1</f>
        <v>0</v>
      </c>
      <c r="C61" s="22">
        <f>(COUNTIF(D40,"Y")+COUNTIF(D41,"Y"))/2</f>
        <v>0</v>
      </c>
      <c r="D61" s="22">
        <f>(COUNTIF(D42,"Y")+COUNTIF(D43,"Y")+COUNTIF(D44,"Y"))/3</f>
        <v>0</v>
      </c>
      <c r="E61" s="67">
        <f>(COUNTIF(D45,"Y")+COUNTIF(D46,"Y"))/2</f>
        <v>0</v>
      </c>
      <c r="F61" s="71">
        <f>(COUNTIF(D39,"Y")+COUNTIF(D40,"Y")+COUNTIF(D41,"Y")+COUNTIF(D42,"Y")+COUNTIF(D43,"Y")+COUNTIF(D44,"Y")+COUNTIF(D45,"Y")+COUNTIF(D46,"Y"))/8</f>
        <v>0</v>
      </c>
    </row>
    <row r="62" spans="1:7" ht="21.75" customHeight="1" x14ac:dyDescent="0.25">
      <c r="A62" s="63" t="s">
        <v>172</v>
      </c>
      <c r="B62" s="64">
        <f>(COUNTIF(D48,"Y"))/1</f>
        <v>0</v>
      </c>
      <c r="C62" s="64">
        <f>(COUNTIF(D49,"Y"))/1</f>
        <v>0</v>
      </c>
      <c r="D62" s="64">
        <f>(COUNTIF(D50,"Y"))/1</f>
        <v>0</v>
      </c>
      <c r="E62" s="69">
        <f>(COUNTIF(D51,"Y"))/1</f>
        <v>0</v>
      </c>
      <c r="F62" s="72">
        <f>(COUNTIF(D48,"Y")+COUNTIF(D49,"Y")+COUNTIF(D50,"Y")+COUNTIF(D51,"Y"))/4</f>
        <v>0</v>
      </c>
    </row>
    <row r="63" spans="1:7" ht="33" customHeight="1" x14ac:dyDescent="0.25">
      <c r="A63" s="73" t="s">
        <v>188</v>
      </c>
      <c r="B63" s="83">
        <f>(COUNTIF(D6,"Y")+COUNTIF(D7,"Y")+COUNTIF(D8,"Y")+COUNTIF(D9,"Y")+COUNTIF(D10,"Y")+COUNTIF(D14,"Y")+COUNTIF(D15,"Y")+COUNTIF(D20,"Y")+COUNTIF(D25,"Y")+COUNTIF(D26,"Y")+COUNTIF(D33,"Y")+COUNTIF(D39,"Y")+COUNTIF(D48,"Y"))/13</f>
        <v>0</v>
      </c>
      <c r="C63" s="83">
        <f>(COUNTIF(D11,"Y")+COUNTIF(D12,"Y")+COUNTIF(D16,"Y")+COUNTIF(D21,"Y")+COUNTIF(D22,"Y")+COUNTIF(D27,"Y")+COUNTIF(D28,"Y")+COUNTIF(D34,"Y")+COUNTIF(D40,"Y")+COUNTIF(D41,"Y")+COUNTIF(D49,"Y"))/11</f>
        <v>0</v>
      </c>
      <c r="D63" s="84">
        <f>(COUNTIF(D17,"Y")+COUNTIF(D23,"Y")+COUNTIF(D29,"Y")+COUNTIF(D35,"Y")+COUNTIF(D36,"Y")+COUNTIF(D37,"Y")+COUNTIF(D42,"Y")+COUNTIF(D43,"Y")+COUNTIF(D44,"Y")+COUNTIF(D50,"Y"))/10</f>
        <v>0</v>
      </c>
      <c r="E63" s="85">
        <f>(COUNTIF(D18,"Y")+COUNTIF(D30,"Y")+COUNTIF(D31,"Y")+COUNTIF(D45,"Y")+COUNTIF(D46,"Y")+COUNTIF(D51,"Y"))/6</f>
        <v>0</v>
      </c>
      <c r="F63" s="86">
        <f>(COUNTIF(D6,"Y")+COUNTIF(D7,"Y")+COUNTIF(D8,"Y")+COUNTIF(D9,"Y")+COUNTIF(D10,"Y")+COUNTIF(D14,"Y")+COUNTIF(D15,"Y")+COUNTIF(D20,"Y")+COUNTIF(D25,"Y")+COUNTIF(D26,"Y")+COUNTIF(D33,"Y")+COUNTIF(D39,"Y")+COUNTIF(D48,"Y")+COUNTIF(D11,"Y")+COUNTIF(D12,"Y")+COUNTIF(D16,"Y")+COUNTIF(D21,"Y")+COUNTIF(D22,"Y")+COUNTIF(D27,"Y")+COUNTIF(D28,"Y")+COUNTIF(D34,"Y")+COUNTIF(D40,"Y")+COUNTIF(D41,"Y")+COUNTIF(D49,"Y")+COUNTIF(D17,"Y")+COUNTIF(D23,"Y")+COUNTIF(D29,"Y")+COUNTIF(D35,"Y")+COUNTIF(D36,"Y")+COUNTIF(D37,"Y")+COUNTIF(D42,"Y")+COUNTIF(D43,"Y")+COUNTIF(D44,"Y")+COUNTIF(D50,"Y")+COUNTIF(D18,"Y")+COUNTIF(D30,"Y")+COUNTIF(D31,"Y")+COUNTIF(D45,"Y")+COUNTIF(D46,"Y")+COUNTIF(D51,"Y"))/40</f>
        <v>0</v>
      </c>
      <c r="G63" s="75"/>
    </row>
    <row r="64" spans="1:7" x14ac:dyDescent="0.25">
      <c r="F64" s="74"/>
    </row>
    <row r="66" spans="1:8" ht="40" customHeight="1" x14ac:dyDescent="0.25">
      <c r="A66" s="89" t="s">
        <v>173</v>
      </c>
      <c r="B66" s="90"/>
      <c r="C66" s="90"/>
      <c r="D66" s="90"/>
      <c r="E66" s="90"/>
      <c r="F66" s="90"/>
      <c r="G66" s="90"/>
      <c r="H66" s="90"/>
    </row>
    <row r="67" spans="1:8" ht="33" customHeight="1" x14ac:dyDescent="0.25">
      <c r="A67" s="37" t="s">
        <v>162</v>
      </c>
      <c r="B67" s="37" t="s">
        <v>174</v>
      </c>
      <c r="C67" s="37" t="s">
        <v>175</v>
      </c>
      <c r="D67" s="37" t="s">
        <v>176</v>
      </c>
      <c r="E67" s="37" t="s">
        <v>177</v>
      </c>
      <c r="F67" s="37" t="s">
        <v>178</v>
      </c>
      <c r="G67" s="87" t="s">
        <v>187</v>
      </c>
      <c r="H67" s="88"/>
    </row>
    <row r="68" spans="1:8" ht="21.75" customHeight="1" x14ac:dyDescent="0.25">
      <c r="A68" s="18" t="s">
        <v>166</v>
      </c>
      <c r="B68" s="19">
        <v>3</v>
      </c>
      <c r="C68" s="17" t="str">
        <f>IF(AND(D6="Y",D7="Y",D8="Y",D9="Y",D10="Y"),"Y","N")</f>
        <v>N</v>
      </c>
      <c r="D68" s="17" t="str">
        <f>IF(AND(D6="Y",D7="Y",D8="Y",D9="Y",D10="Y",D11="Y",D12="Y"),"Y","N")</f>
        <v>N</v>
      </c>
      <c r="E68" s="23" t="s">
        <v>180</v>
      </c>
      <c r="F68" s="23" t="s">
        <v>180</v>
      </c>
      <c r="G68" s="91">
        <f>IF(C68&lt;&gt;"Y",1,
IF(D68&lt;&gt;"Y",2,
IF(E68&lt;&gt;"Y",3,
IF(F68&lt;&gt;"Y",4,
5))))</f>
        <v>1</v>
      </c>
      <c r="H68" s="38" t="str">
        <f>IF(C68&lt;&gt;"Y","Initial",
IF(D68&lt;&gt;"Y","Foundational",
IF(E68&lt;&gt;"Y","Structured",
IF(F68&lt;&gt;"Y","Managed",
"Optimized"))))</f>
        <v>Initial</v>
      </c>
    </row>
    <row r="69" spans="1:8" ht="21.75" customHeight="1" x14ac:dyDescent="0.25">
      <c r="A69" s="18" t="s">
        <v>167</v>
      </c>
      <c r="B69" s="20">
        <v>5</v>
      </c>
      <c r="C69" s="17" t="str">
        <f>IF(AND(D14="Y",D15="Y",D16="Y",D17="Y",D18="Y"),"Y","N")</f>
        <v>N</v>
      </c>
      <c r="D69" s="17" t="str">
        <f>IF(AND(D14="Y",D15="Y",D16="Y"),"Y","N")</f>
        <v>N</v>
      </c>
      <c r="E69" s="17" t="str">
        <f>IF(AND(D14="Y",D15="Y",D16="Y",D17="Y"),"Y","N")</f>
        <v>N</v>
      </c>
      <c r="F69" s="17" t="str">
        <f>IF(AND(D14="Y",D15="Y",D16="Y",D17="Y",D18="Y"),"Y","N")</f>
        <v>N</v>
      </c>
      <c r="G69" s="91">
        <f>IF(C69&lt;&gt;"Y",1,
IF(D69&lt;&gt;"Y",2,
IF(E69&lt;&gt;"Y",3,
IF(F69&lt;&gt;"Y",4,
5))))</f>
        <v>1</v>
      </c>
      <c r="H69" s="38" t="str">
        <f>IF(C69&lt;&gt;"Y","Initial",
IF(D69&lt;&gt;"Y","Foundational",
IF(E69&lt;&gt;"Y","Structured",
IF(F69&lt;&gt;"Y","Managed",
"Optimized"))))</f>
        <v>Initial</v>
      </c>
    </row>
    <row r="70" spans="1:8" ht="21.75" customHeight="1" x14ac:dyDescent="0.25">
      <c r="A70" s="18" t="s">
        <v>168</v>
      </c>
      <c r="B70" s="21">
        <v>4</v>
      </c>
      <c r="C70" s="17" t="str">
        <f>IF(AND(D20="Y"),"Y","N")</f>
        <v>N</v>
      </c>
      <c r="D70" s="17" t="str">
        <f>IF(AND(D20="Y",D21="Y",D22="Y"),"Y","N")</f>
        <v>N</v>
      </c>
      <c r="E70" s="17" t="str">
        <f>IF(AND(D20="Y",D21="Y",D22="Y",D23="Y"),"Y","N")</f>
        <v>N</v>
      </c>
      <c r="F70" s="23" t="s">
        <v>180</v>
      </c>
      <c r="G70" s="91">
        <f>IF(C70&lt;&gt;"Y",1,
IF(D70&lt;&gt;"Y",2,
IF(E70&lt;&gt;"Y",3,
IF(F70&lt;&gt;"Y",4,
5))))</f>
        <v>1</v>
      </c>
      <c r="H70" s="38" t="str">
        <f>IF(C70&lt;&gt;"Y","Initial",
IF(D70&lt;&gt;"Y","Foundational",
IF(E70&lt;&gt;"Y","Structured",
IF(F70&lt;&gt;"Y","Managed",
"Optimized"))))</f>
        <v>Initial</v>
      </c>
    </row>
    <row r="71" spans="1:8" ht="21.75" customHeight="1" x14ac:dyDescent="0.25">
      <c r="A71" s="18" t="s">
        <v>169</v>
      </c>
      <c r="B71" s="20">
        <v>5</v>
      </c>
      <c r="C71" s="17" t="str">
        <f>IF(AND(D25="Y",D26="Y"),"Y","N")</f>
        <v>N</v>
      </c>
      <c r="D71" s="17" t="str">
        <f>IF(AND(D25="Y",D26="Y",D27="Y",D28="Y"),"Y","N")</f>
        <v>N</v>
      </c>
      <c r="E71" s="17" t="str">
        <f>IF(AND(D25="Y",D26="Y",D27="Y",D28="Y",D29="Y"),"Y","N")</f>
        <v>N</v>
      </c>
      <c r="F71" s="17" t="str">
        <f>IF(AND(D25="Y",D26="Y",D27="Y",D28="Y",D29="Y",D30="Y",D31="Y"),"Y","N")</f>
        <v>N</v>
      </c>
      <c r="G71" s="91">
        <f>IF(C71&lt;&gt;"Y",1,
IF(D71&lt;&gt;"Y",2,
IF(E71&lt;&gt;"Y",3,
IF(F71&lt;&gt;"Y",4,
5))))</f>
        <v>1</v>
      </c>
      <c r="H71" s="38" t="str">
        <f>IF(C71&lt;&gt;"Y","Initial",
IF(D71&lt;&gt;"Y","Foundational",
IF(E71&lt;&gt;"Y","Structured",
IF(F71&lt;&gt;"Y","Managed",
"Optimized"))))</f>
        <v>Initial</v>
      </c>
    </row>
    <row r="72" spans="1:8" ht="21.75" customHeight="1" x14ac:dyDescent="0.25">
      <c r="A72" s="18" t="s">
        <v>170</v>
      </c>
      <c r="B72" s="21">
        <v>4</v>
      </c>
      <c r="C72" s="17" t="str">
        <f>IF(AND(D33="Y"),"Y","N")</f>
        <v>N</v>
      </c>
      <c r="D72" s="17" t="str">
        <f>IF(AND(D33="Y",D34="Y"),"Y","N")</f>
        <v>N</v>
      </c>
      <c r="E72" s="17" t="str">
        <f>IF(AND(D33="Y",D34="Y",D35="Y",D36="Y",D37="Y"),"Y","N")</f>
        <v>N</v>
      </c>
      <c r="F72" s="23" t="s">
        <v>180</v>
      </c>
      <c r="G72" s="91">
        <f>IF(C72&lt;&gt;"Y",1,
IF(D72&lt;&gt;"Y",2,
IF(E72&lt;&gt;"Y",3,
IF(F72&lt;&gt;"Y",4,
5))))</f>
        <v>1</v>
      </c>
      <c r="H72" s="38" t="str">
        <f>IF(C72&lt;&gt;"Y","Initial",
IF(D72&lt;&gt;"Y","Foundational",
IF(E72&lt;&gt;"Y","Structured",
IF(F72&lt;&gt;"Y","Managed",
"Optimized"))))</f>
        <v>Initial</v>
      </c>
    </row>
    <row r="73" spans="1:8" ht="21.75" customHeight="1" x14ac:dyDescent="0.25">
      <c r="A73" s="18" t="s">
        <v>171</v>
      </c>
      <c r="B73" s="20">
        <v>5</v>
      </c>
      <c r="C73" s="17" t="str">
        <f>IF(AND(D39="Y"),"Y","N")</f>
        <v>N</v>
      </c>
      <c r="D73" s="17" t="str">
        <f>IF(AND(D39="Y",D40="Y",D41="Y"),"Y","N")</f>
        <v>N</v>
      </c>
      <c r="E73" s="17" t="str">
        <f>IF(AND(D39="Y",D40="Y",D41="Y",D42="Y",D43="Y",D44="Y"),"Y","N")</f>
        <v>N</v>
      </c>
      <c r="F73" s="17" t="str">
        <f>IF(AND(D39="Y",D40="Y",D41="Y",D42="Y",D43="Y",D44="Y",D45="Y",D46="Y"),"Y","N")</f>
        <v>N</v>
      </c>
      <c r="G73" s="91">
        <f>IF(C73&lt;&gt;"Y",1,
IF(D73&lt;&gt;"Y",2,
IF(E73&lt;&gt;"Y",3,
IF(F73&lt;&gt;"Y",4,
5))))</f>
        <v>1</v>
      </c>
      <c r="H73" s="38" t="str">
        <f>IF(C73&lt;&gt;"Y","Initial",
IF(D73&lt;&gt;"Y","Foundational",
IF(E73&lt;&gt;"Y","Structured",
IF(F73&lt;&gt;"Y","Managed",
"Optimized"))))</f>
        <v>Initial</v>
      </c>
    </row>
    <row r="74" spans="1:8" ht="21.75" customHeight="1" x14ac:dyDescent="0.25">
      <c r="A74" s="18" t="s">
        <v>172</v>
      </c>
      <c r="B74" s="20">
        <v>5</v>
      </c>
      <c r="C74" s="17" t="str">
        <f>IF(AND(D48="Y"),"Y","N")</f>
        <v>N</v>
      </c>
      <c r="D74" s="17" t="str">
        <f>IF(AND(D48="Y",D49="Y"),"Y","N")</f>
        <v>N</v>
      </c>
      <c r="E74" s="17" t="str">
        <f>IF(AND(D48="Y",D49="Y",D50="Y"),"Y","N")</f>
        <v>N</v>
      </c>
      <c r="F74" s="17" t="str">
        <f>IF(AND(D48="Y",D49="Y",D50="Y",D51="Y"),"Y","N")</f>
        <v>N</v>
      </c>
      <c r="G74" s="91">
        <f t="shared" ref="G74" si="0">IF(C74&lt;&gt;"Y",1,
IF(D74&lt;&gt;"Y",2,
IF(E74&lt;&gt;"Y",3,
IF(F74&lt;&gt;"Y",4,
5))))</f>
        <v>1</v>
      </c>
      <c r="H74" s="38" t="str">
        <f t="shared" ref="H74" si="1">IF(C74&lt;&gt;"Y","Initial",
IF(D74&lt;&gt;"Y","Foundational",
IF(E74&lt;&gt;"Y","Structured",
IF(F74&lt;&gt;"Y","Managed",
"Optimized"))))</f>
        <v>Initial</v>
      </c>
    </row>
  </sheetData>
  <mergeCells count="24">
    <mergeCell ref="B45:B46"/>
    <mergeCell ref="G67:H67"/>
    <mergeCell ref="A66:H66"/>
    <mergeCell ref="A14:A18"/>
    <mergeCell ref="A54:F54"/>
    <mergeCell ref="A6:A12"/>
    <mergeCell ref="A1:E1"/>
    <mergeCell ref="A2:E2"/>
    <mergeCell ref="A3:E3"/>
    <mergeCell ref="A48:A51"/>
    <mergeCell ref="A39:A46"/>
    <mergeCell ref="A33:A37"/>
    <mergeCell ref="A25:A31"/>
    <mergeCell ref="A20:A23"/>
    <mergeCell ref="B35:B37"/>
    <mergeCell ref="B40:B41"/>
    <mergeCell ref="B42:B44"/>
    <mergeCell ref="B6:B10"/>
    <mergeCell ref="B11:B12"/>
    <mergeCell ref="B14:B15"/>
    <mergeCell ref="B21:B22"/>
    <mergeCell ref="B25:B26"/>
    <mergeCell ref="B27:B28"/>
    <mergeCell ref="B30:B31"/>
  </mergeCells>
  <conditionalFormatting sqref="D4:E6 D7:D52 D53:F53">
    <cfRule type="cellIs" dxfId="1" priority="1" operator="equal">
      <formula>"Y"</formula>
    </cfRule>
    <cfRule type="cellIs" dxfId="0" priority="2" operator="equal">
      <formula>"N"</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B01A9-6FCB-EE42-B1F7-4B7BBA070EE4}">
  <dimension ref="A1:K41"/>
  <sheetViews>
    <sheetView tabSelected="1" zoomScaleNormal="125" workbookViewId="0">
      <selection activeCell="Q18" sqref="Q18"/>
    </sheetView>
  </sheetViews>
  <sheetFormatPr baseColWidth="10" defaultRowHeight="16" x14ac:dyDescent="0.2"/>
  <cols>
    <col min="1" max="1" width="10.83203125" customWidth="1"/>
  </cols>
  <sheetData>
    <row r="1" spans="1:8" ht="33" customHeight="1" x14ac:dyDescent="0.2">
      <c r="A1" s="101" t="s">
        <v>199</v>
      </c>
      <c r="B1" s="101"/>
      <c r="C1" s="101"/>
      <c r="D1" s="101"/>
      <c r="E1" s="101"/>
      <c r="F1" s="101"/>
      <c r="G1" s="101"/>
      <c r="H1" s="101"/>
    </row>
    <row r="2" spans="1:8" ht="90" customHeight="1" x14ac:dyDescent="0.2">
      <c r="A2" s="98" t="s">
        <v>201</v>
      </c>
      <c r="B2" s="98"/>
      <c r="C2" s="98"/>
      <c r="D2" s="98"/>
      <c r="E2" s="98"/>
      <c r="F2" s="98"/>
      <c r="G2" s="98"/>
      <c r="H2" s="98"/>
    </row>
    <row r="18" spans="1:8" ht="33" customHeight="1" x14ac:dyDescent="0.2">
      <c r="A18" s="102" t="s">
        <v>200</v>
      </c>
      <c r="B18" s="103"/>
      <c r="C18" s="103"/>
      <c r="D18" s="103"/>
      <c r="E18" s="103"/>
      <c r="F18" s="103"/>
      <c r="G18" s="103"/>
      <c r="H18" s="104"/>
    </row>
    <row r="19" spans="1:8" ht="84" customHeight="1" x14ac:dyDescent="0.2">
      <c r="A19" s="107" t="s">
        <v>202</v>
      </c>
      <c r="B19" s="108"/>
      <c r="C19" s="108"/>
      <c r="D19" s="108"/>
      <c r="E19" s="108"/>
      <c r="F19" s="108"/>
      <c r="G19" s="108"/>
      <c r="H19" s="109"/>
    </row>
    <row r="40" spans="1:11" ht="33" customHeight="1" x14ac:dyDescent="0.2">
      <c r="A40" s="105" t="s">
        <v>203</v>
      </c>
      <c r="B40" s="106"/>
      <c r="C40" s="106"/>
      <c r="D40" s="106"/>
      <c r="E40" s="106"/>
      <c r="F40" s="106"/>
      <c r="G40" s="106"/>
      <c r="H40" s="106"/>
      <c r="I40" s="106"/>
      <c r="J40" s="106"/>
      <c r="K40" s="106"/>
    </row>
    <row r="41" spans="1:11" ht="68" customHeight="1" x14ac:dyDescent="0.2">
      <c r="A41" s="99" t="s">
        <v>204</v>
      </c>
      <c r="B41" s="100"/>
      <c r="C41" s="100"/>
      <c r="D41" s="100"/>
      <c r="E41" s="100"/>
      <c r="F41" s="100"/>
      <c r="G41" s="100"/>
      <c r="H41" s="100"/>
      <c r="I41" s="100"/>
      <c r="J41" s="100"/>
      <c r="K41" s="100"/>
    </row>
  </sheetData>
  <mergeCells count="6">
    <mergeCell ref="A40:K40"/>
    <mergeCell ref="A41:K41"/>
    <mergeCell ref="A2:H2"/>
    <mergeCell ref="A1:H1"/>
    <mergeCell ref="A18:H18"/>
    <mergeCell ref="A19:H1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Folhas de Cálculo</vt:lpstr>
      </vt:variant>
      <vt:variant>
        <vt:i4>10</vt:i4>
      </vt:variant>
    </vt:vector>
  </HeadingPairs>
  <TitlesOfParts>
    <vt:vector size="10" baseType="lpstr">
      <vt:lpstr>About This Model</vt:lpstr>
      <vt:lpstr>1. Workflow Progression Guarant</vt:lpstr>
      <vt:lpstr>2. Constraint Enforcement</vt:lpstr>
      <vt:lpstr>3. Concurrency &amp; Idempotency </vt:lpstr>
      <vt:lpstr>4. Fault Handling &amp; Recovery</vt:lpstr>
      <vt:lpstr>5. Runtime Governance</vt:lpstr>
      <vt:lpstr>6. Events Documentation</vt:lpstr>
      <vt:lpstr>7. Microservices Documentation</vt:lpstr>
      <vt:lpstr>Dashboard</vt:lpstr>
      <vt:lpstr>Graphs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Joaquim Luz Bação</dc:creator>
  <cp:lastModifiedBy>Joaquim Luz Bação</cp:lastModifiedBy>
  <dcterms:created xsi:type="dcterms:W3CDTF">2026-03-29T13:28:25Z</dcterms:created>
  <dcterms:modified xsi:type="dcterms:W3CDTF">2026-04-29T01:05:37Z</dcterms:modified>
</cp:coreProperties>
</file>